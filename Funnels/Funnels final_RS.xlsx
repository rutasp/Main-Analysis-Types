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ruta/Downloads/"/>
    </mc:Choice>
  </mc:AlternateContent>
  <xr:revisionPtr revIDLastSave="0" documentId="13_ncr:1_{0E623EB1-FEEE-4F46-9D2A-180736AB39CB}" xr6:coauthVersionLast="47" xr6:coauthVersionMax="47" xr10:uidLastSave="{00000000-0000-0000-0000-000000000000}"/>
  <bookViews>
    <workbookView xWindow="0" yWindow="0" windowWidth="28800" windowHeight="18000" activeTab="1" xr2:uid="{00000000-000D-0000-FFFF-FFFF00000000}"/>
  </bookViews>
  <sheets>
    <sheet name="Graded Task" sheetId="1" r:id="rId1"/>
    <sheet name="Funnel Overview" sheetId="2" r:id="rId2"/>
    <sheet name="Extra" sheetId="5" r:id="rId3"/>
    <sheet name="Queries used" sheetId="6" r:id="rId4"/>
  </sheets>
  <definedNames>
    <definedName name="_xlchart.v2.0" hidden="1">'Funnel Overview'!$C$25:$C$30</definedName>
    <definedName name="_xlchart.v2.1" hidden="1">'Funnel Overview'!$D$25:$D$30</definedName>
    <definedName name="_xlchart.v2.2" hidden="1">'Funnel Overview'!$C$25:$C$30</definedName>
    <definedName name="_xlchart.v2.3" hidden="1">'Funnel Overview'!$F$25:$F$30</definedName>
    <definedName name="_xlchart.v2.4" hidden="1">'Funnel Overview'!$C$25:$C$30</definedName>
    <definedName name="_xlchart.v2.5" hidden="1">'Funnel Overview'!$G$25:$G$30</definedName>
    <definedName name="_xlchart.v2.6" hidden="1">'Funnel Overview'!$C$25:$C$30</definedName>
    <definedName name="_xlchart.v2.7" hidden="1">'Funnel Overview'!$E$25:$E$30</definedName>
    <definedName name="_xlnm.Print_Area" localSheetId="1">'Funnel Overview'!$B$3:$N$55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26" i="2" l="1"/>
  <c r="J27" i="2"/>
  <c r="J28" i="2"/>
  <c r="J29" i="2"/>
  <c r="J30" i="2"/>
  <c r="J25" i="2"/>
  <c r="L25" i="2"/>
  <c r="M25" i="2"/>
  <c r="N25" i="2"/>
  <c r="L26" i="2"/>
  <c r="M26" i="2"/>
  <c r="N26" i="2"/>
  <c r="L27" i="2"/>
  <c r="M27" i="2"/>
  <c r="N27" i="2"/>
  <c r="L28" i="2"/>
  <c r="M28" i="2"/>
  <c r="N28" i="2"/>
  <c r="L29" i="2"/>
  <c r="M29" i="2"/>
  <c r="N29" i="2"/>
  <c r="L30" i="2"/>
  <c r="M30" i="2"/>
  <c r="N30" i="2"/>
  <c r="K27" i="2"/>
  <c r="K28" i="2"/>
  <c r="K29" i="2"/>
  <c r="K30" i="2"/>
  <c r="K26" i="2"/>
  <c r="K25" i="2"/>
  <c r="I29" i="1"/>
  <c r="H29" i="1"/>
  <c r="G29" i="1"/>
  <c r="F29" i="1"/>
  <c r="I28" i="1"/>
  <c r="H28" i="1"/>
  <c r="G28" i="1"/>
  <c r="F28" i="1"/>
</calcChain>
</file>

<file path=xl/metadata.xml><?xml version="1.0" encoding="utf-8"?>
<metadata xmlns="http://schemas.openxmlformats.org/spreadsheetml/2006/main" xmlns:xlrd="http://schemas.microsoft.com/office/spreadsheetml/2017/richdata"/>
</file>

<file path=xl/sharedStrings.xml><?xml version="1.0" encoding="utf-8"?>
<sst xmlns="http://schemas.openxmlformats.org/spreadsheetml/2006/main" count="242" uniqueCount="151">
  <si>
    <t>Task 1</t>
  </si>
  <si>
    <t>Your task is to build useful funnel chart from raw_events table data.</t>
  </si>
  <si>
    <t>https://console.cloud.google.com/bigquery?project=tc-da-1&amp;authuser=1&amp;ws=!1m5!1m4!4m3!1stc-da-1!2sturing_data_analytics!3sraw_events</t>
  </si>
  <si>
    <t>1. Analyze the data in raw_events table. Spend time querying the table, getting more familiar with data. Identify events captured by users visiting the website.</t>
  </si>
  <si>
    <t xml:space="preserve">* The data in raw_events table captures a lot of events from users based on their timestamps. This can be useful for a number of analysis. However sometimes more data does not help as it can inflate the results. I.e. if we want to see how many users have gone to the checkout the one user who may have gone back and forth to checkout for 8 times can be dangerous when building a funnel chart as it can overpresent how many users in total get to the checkout. Always be mindful of duplicate data and how it can affect your analysis. </t>
  </si>
  <si>
    <t>* First Order of the business is to write a query that eliminates the duplicates for our funnel analysis.</t>
  </si>
  <si>
    <t>The query should contain all of the columns from raw_events table. It should however only have 1 unique event per user_pseudo_id. For example:</t>
  </si>
  <si>
    <t>Original table</t>
  </si>
  <si>
    <t>Unique Table</t>
  </si>
  <si>
    <t>user_pseudo_id</t>
  </si>
  <si>
    <t>Event</t>
  </si>
  <si>
    <t>Timestamp</t>
  </si>
  <si>
    <t>Other columns</t>
  </si>
  <si>
    <t>session_start</t>
  </si>
  <si>
    <t>1605430896492843</t>
  </si>
  <si>
    <t>xx</t>
  </si>
  <si>
    <t>view_item</t>
  </si>
  <si>
    <t>1607621666018444</t>
  </si>
  <si>
    <t>1607656387918361</t>
  </si>
  <si>
    <t>add_to_cart</t>
  </si>
  <si>
    <t>1607570937682642</t>
  </si>
  <si>
    <t>1607182981443872</t>
  </si>
  <si>
    <t>* In case of duplicate events the chosen event should be the first one (based on event_timestamp)</t>
  </si>
  <si>
    <t>2. Now that you have your unique events table create a sales funnel chart from events in it. Not all events are relevant, productive to be used in this chart. Identify &amp; collect data that you think could be used</t>
  </si>
  <si>
    <t>* Use between 4 to 6 types of events in this analysis.</t>
  </si>
  <si>
    <t>* Create a funnel chart with a country split. Business is interested in the differences between top 3 countries in the funnel chart.</t>
  </si>
  <si>
    <t>* Top countries are decided by their overall number of events.</t>
  </si>
  <si>
    <t>* Provide insights if any found.</t>
  </si>
  <si>
    <t>* See if you can come up with any other ideas/slices for funnel analysis that could be worth a look.</t>
  </si>
  <si>
    <t>Task format.</t>
  </si>
  <si>
    <t>1. Create a query  for unique events. Copy this query into the Queries used spreadsheet.</t>
  </si>
  <si>
    <t>2. Write a new query that aggregates your identified events per top 3 countries. Copy this query into the Queries used spreadsheet.</t>
  </si>
  <si>
    <t>3. Create a table showing the numbers of events' that you want to use in the funnel analysis. Add event_order and  the percentage drop off values, as in the Example:</t>
  </si>
  <si>
    <t>event_order</t>
  </si>
  <si>
    <t>event_name</t>
  </si>
  <si>
    <t>1st Country events</t>
  </si>
  <si>
    <t>2nd Country events</t>
  </si>
  <si>
    <t>3rd Country events</t>
  </si>
  <si>
    <t>Full_perc</t>
  </si>
  <si>
    <t>1st_country_perc_drop</t>
  </si>
  <si>
    <t>2nd_country_perc_drop</t>
  </si>
  <si>
    <t>3rd_country_perc_drop</t>
  </si>
  <si>
    <t>Event 1</t>
  </si>
  <si>
    <t>Event 2</t>
  </si>
  <si>
    <t>* You can use both spreadsheets and SQL functionality to get this data.</t>
  </si>
  <si>
    <t>* An additional challenge that can benefit you: creating all the columns using SQL.</t>
  </si>
  <si>
    <t>* however try to keep it understandable and reusable. You will need to be able to validate/answer questions on data collection part.</t>
  </si>
  <si>
    <t>4. Create funnel chart(s) based on data you've collected. Document any key points you find.</t>
  </si>
  <si>
    <t>*  You should also have relevant tables/data in the sheet, but be mindful to keep the sheet informative. You can add some conditional formatting to the tables to make it more readable.</t>
  </si>
  <si>
    <t>5. You can have additional sheets created/used if it is needed for you to accomplish your analysis</t>
  </si>
  <si>
    <t>* Be mindful of excel limitations as you cannot load all the data in spreadsheets and need to aggregate in the SQL.</t>
  </si>
  <si>
    <t>Prepare to give a 5-10 minute introduction of your Funnel sheet to your fellow analysts.</t>
  </si>
  <si>
    <t>Evaluation criteria for a Graded Task submission:</t>
  </si>
  <si>
    <t>Data collected correctly and table is shown in specified format.</t>
  </si>
  <si>
    <t>Funnel chart is used with country split. Additional category splits can be done for extra points.</t>
  </si>
  <si>
    <t>1 or 2 insights provided regarding the data.</t>
  </si>
  <si>
    <t>Good use of formatting, layout,  results highlighting.</t>
  </si>
  <si>
    <t>Overall Aesthetic look, You do not need to fit everything to be visible in 1 window, but spacing and optimal size selection for charts matter. Ideally your main key points of analysis should be visible from a single point of view.</t>
  </si>
  <si>
    <t>Analytical approach to the problem</t>
  </si>
  <si>
    <t>During a task review, you may get asked questions that test your understanding of covered topics.</t>
  </si>
  <si>
    <t>Sample questions:</t>
  </si>
  <si>
    <t>How did you collect the data? How did you identify the events to be used in this analysis?</t>
  </si>
  <si>
    <t>Did you validate the data/query? How?</t>
  </si>
  <si>
    <t>Did you find any challenges/opportunities when using the data sample?</t>
  </si>
  <si>
    <t>What business questions could this analysis be used to answer?</t>
  </si>
  <si>
    <r>
      <t>WITH</t>
    </r>
    <r>
      <rPr>
        <sz val="12"/>
        <color rgb="FF3A474E"/>
        <rFont val="Menlo"/>
        <family val="2"/>
      </rPr>
      <t xml:space="preserve"> </t>
    </r>
    <r>
      <rPr>
        <sz val="12"/>
        <color rgb="FF000000"/>
        <rFont val="Menlo"/>
        <family val="2"/>
      </rPr>
      <t>AggregatedEvents</t>
    </r>
    <r>
      <rPr>
        <sz val="12"/>
        <color rgb="FF3A474E"/>
        <rFont val="Menlo"/>
        <family val="2"/>
      </rPr>
      <t xml:space="preserve"> </t>
    </r>
    <r>
      <rPr>
        <sz val="12"/>
        <color rgb="FF3367D6"/>
        <rFont val="Menlo"/>
        <family val="2"/>
      </rPr>
      <t>AS</t>
    </r>
    <r>
      <rPr>
        <sz val="12"/>
        <color rgb="FF3A474E"/>
        <rFont val="Menlo"/>
        <family val="2"/>
      </rPr>
      <t xml:space="preserve"> </t>
    </r>
    <r>
      <rPr>
        <sz val="12"/>
        <color rgb="FF37474F"/>
        <rFont val="Menlo"/>
        <family val="2"/>
      </rPr>
      <t>(</t>
    </r>
  </si>
  <si>
    <r>
      <t>SELECT</t>
    </r>
    <r>
      <rPr>
        <sz val="12"/>
        <color rgb="FF3A474E"/>
        <rFont val="Menlo"/>
        <family val="2"/>
      </rPr>
      <t xml:space="preserve"> </t>
    </r>
  </si>
  <si>
    <r>
      <t>user_pseudo_id</t>
    </r>
    <r>
      <rPr>
        <sz val="12"/>
        <color rgb="FF3A474E"/>
        <rFont val="Menlo"/>
        <family val="2"/>
      </rPr>
      <t>,</t>
    </r>
  </si>
  <si>
    <r>
      <t>event_name</t>
    </r>
    <r>
      <rPr>
        <sz val="12"/>
        <color rgb="FF3A474E"/>
        <rFont val="Menlo"/>
        <family val="2"/>
      </rPr>
      <t>,</t>
    </r>
  </si>
  <si>
    <r>
      <t>MIN</t>
    </r>
    <r>
      <rPr>
        <sz val="12"/>
        <color rgb="FF37474F"/>
        <rFont val="Menlo"/>
        <family val="2"/>
      </rPr>
      <t>(</t>
    </r>
    <r>
      <rPr>
        <sz val="12"/>
        <color rgb="FF000000"/>
        <rFont val="Menlo"/>
        <family val="2"/>
      </rPr>
      <t>event_timestamp</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first_event_timestamp</t>
    </r>
  </si>
  <si>
    <r>
      <t>FROM</t>
    </r>
    <r>
      <rPr>
        <sz val="12"/>
        <color rgb="FF3A474E"/>
        <rFont val="Menlo"/>
        <family val="2"/>
      </rPr>
      <t xml:space="preserve"> </t>
    </r>
    <r>
      <rPr>
        <sz val="12"/>
        <color rgb="FF0D904F"/>
        <rFont val="Menlo"/>
        <family val="2"/>
      </rPr>
      <t>`turing_data_analytics.raw_events`</t>
    </r>
  </si>
  <si>
    <r>
      <t>GROUP</t>
    </r>
    <r>
      <rPr>
        <sz val="12"/>
        <color rgb="FF3A474E"/>
        <rFont val="Menlo"/>
        <family val="2"/>
      </rPr>
      <t xml:space="preserve"> </t>
    </r>
    <r>
      <rPr>
        <sz val="12"/>
        <color rgb="FF3367D6"/>
        <rFont val="Menlo"/>
        <family val="2"/>
      </rPr>
      <t>BY</t>
    </r>
    <r>
      <rPr>
        <sz val="12"/>
        <color rgb="FF3A474E"/>
        <rFont val="Menlo"/>
        <family val="2"/>
      </rPr>
      <t xml:space="preserve"> </t>
    </r>
    <r>
      <rPr>
        <sz val="12"/>
        <color rgb="FF000000"/>
        <rFont val="Menlo"/>
        <family val="2"/>
      </rPr>
      <t>event_name</t>
    </r>
    <r>
      <rPr>
        <sz val="12"/>
        <color rgb="FF3A474E"/>
        <rFont val="Menlo"/>
        <family val="2"/>
      </rPr>
      <t xml:space="preserve">, </t>
    </r>
    <r>
      <rPr>
        <sz val="12"/>
        <color rgb="FF000000"/>
        <rFont val="Menlo"/>
        <family val="2"/>
      </rPr>
      <t>user_pseudo_id</t>
    </r>
  </si>
  <si>
    <t>)</t>
  </si>
  <si>
    <r>
      <t>raw_events</t>
    </r>
    <r>
      <rPr>
        <sz val="12"/>
        <color rgb="FF3A474E"/>
        <rFont val="Menlo"/>
        <family val="2"/>
      </rPr>
      <t>.</t>
    </r>
    <r>
      <rPr>
        <sz val="12"/>
        <color rgb="FF37474F"/>
        <rFont val="Menlo"/>
        <family val="2"/>
      </rPr>
      <t>*</t>
    </r>
  </si>
  <si>
    <r>
      <t>FROM</t>
    </r>
    <r>
      <rPr>
        <sz val="12"/>
        <color rgb="FF3A474E"/>
        <rFont val="Menlo"/>
        <family val="2"/>
      </rPr>
      <t xml:space="preserve"> </t>
    </r>
  </si>
  <si>
    <r>
      <t>`turing_data_analytics.raw_events`</t>
    </r>
    <r>
      <rPr>
        <sz val="12"/>
        <color rgb="FF3A474E"/>
        <rFont val="Menlo"/>
        <family val="2"/>
      </rPr>
      <t xml:space="preserve"> </t>
    </r>
    <r>
      <rPr>
        <sz val="12"/>
        <color rgb="FF000000"/>
        <rFont val="Menlo"/>
        <family val="2"/>
      </rPr>
      <t>raw_events</t>
    </r>
  </si>
  <si>
    <r>
      <t>JOIN</t>
    </r>
    <r>
      <rPr>
        <sz val="12"/>
        <color rgb="FF3A474E"/>
        <rFont val="Menlo"/>
        <family val="2"/>
      </rPr>
      <t xml:space="preserve"> </t>
    </r>
  </si>
  <si>
    <r>
      <t>AggregatedEvents</t>
    </r>
    <r>
      <rPr>
        <sz val="12"/>
        <color rgb="FF3A474E"/>
        <rFont val="Menlo"/>
        <family val="2"/>
      </rPr>
      <t xml:space="preserve"> </t>
    </r>
    <r>
      <rPr>
        <sz val="12"/>
        <color rgb="FF000000"/>
        <rFont val="Menlo"/>
        <family val="2"/>
      </rPr>
      <t>agg</t>
    </r>
    <r>
      <rPr>
        <sz val="12"/>
        <color rgb="FF3A474E"/>
        <rFont val="Menlo"/>
        <family val="2"/>
      </rPr>
      <t xml:space="preserve"> </t>
    </r>
  </si>
  <si>
    <r>
      <t>ON</t>
    </r>
    <r>
      <rPr>
        <sz val="12"/>
        <color rgb="FF3A474E"/>
        <rFont val="Menlo"/>
        <family val="2"/>
      </rPr>
      <t xml:space="preserve"> </t>
    </r>
    <r>
      <rPr>
        <sz val="12"/>
        <color rgb="FF000000"/>
        <rFont val="Menlo"/>
        <family val="2"/>
      </rPr>
      <t>raw_events.user_pseudo_id</t>
    </r>
    <r>
      <rPr>
        <sz val="12"/>
        <color rgb="FF3A474E"/>
        <rFont val="Menlo"/>
        <family val="2"/>
      </rPr>
      <t xml:space="preserve"> = </t>
    </r>
    <r>
      <rPr>
        <sz val="12"/>
        <color rgb="FF000000"/>
        <rFont val="Menlo"/>
        <family val="2"/>
      </rPr>
      <t>agg.user_pseudo_id</t>
    </r>
    <r>
      <rPr>
        <sz val="12"/>
        <color rgb="FF3A474E"/>
        <rFont val="Menlo"/>
        <family val="2"/>
      </rPr>
      <t xml:space="preserve"> </t>
    </r>
  </si>
  <si>
    <r>
      <t>AND</t>
    </r>
    <r>
      <rPr>
        <sz val="12"/>
        <color rgb="FF3A474E"/>
        <rFont val="Menlo"/>
        <family val="2"/>
      </rPr>
      <t xml:space="preserve"> </t>
    </r>
    <r>
      <rPr>
        <sz val="12"/>
        <color rgb="FF000000"/>
        <rFont val="Menlo"/>
        <family val="2"/>
      </rPr>
      <t>raw_events.event_name</t>
    </r>
    <r>
      <rPr>
        <sz val="12"/>
        <color rgb="FF3A474E"/>
        <rFont val="Menlo"/>
        <family val="2"/>
      </rPr>
      <t xml:space="preserve"> = </t>
    </r>
    <r>
      <rPr>
        <sz val="12"/>
        <color rgb="FF000000"/>
        <rFont val="Menlo"/>
        <family val="2"/>
      </rPr>
      <t>agg.event_name</t>
    </r>
    <r>
      <rPr>
        <sz val="12"/>
        <color rgb="FF3A474E"/>
        <rFont val="Menlo"/>
        <family val="2"/>
      </rPr>
      <t xml:space="preserve"> </t>
    </r>
  </si>
  <si>
    <r>
      <t>AND</t>
    </r>
    <r>
      <rPr>
        <sz val="12"/>
        <color rgb="FF3A474E"/>
        <rFont val="Menlo"/>
        <family val="2"/>
      </rPr>
      <t xml:space="preserve"> </t>
    </r>
    <r>
      <rPr>
        <sz val="12"/>
        <color rgb="FF000000"/>
        <rFont val="Menlo"/>
        <family val="2"/>
      </rPr>
      <t>raw_events.event_timestamp</t>
    </r>
    <r>
      <rPr>
        <sz val="12"/>
        <color rgb="FF3A474E"/>
        <rFont val="Menlo"/>
        <family val="2"/>
      </rPr>
      <t xml:space="preserve"> = </t>
    </r>
    <r>
      <rPr>
        <sz val="12"/>
        <color rgb="FF000000"/>
        <rFont val="Menlo"/>
        <family val="2"/>
      </rPr>
      <t>agg.first_event_timestamp</t>
    </r>
  </si>
  <si>
    <r>
      <t>ORDER</t>
    </r>
    <r>
      <rPr>
        <sz val="12"/>
        <color rgb="FF3A474E"/>
        <rFont val="Menlo"/>
        <family val="2"/>
      </rPr>
      <t xml:space="preserve"> </t>
    </r>
    <r>
      <rPr>
        <sz val="12"/>
        <color rgb="FF3367D6"/>
        <rFont val="Menlo"/>
        <family val="2"/>
      </rPr>
      <t>BY</t>
    </r>
    <r>
      <rPr>
        <sz val="12"/>
        <color rgb="FF3A474E"/>
        <rFont val="Menlo"/>
        <family val="2"/>
      </rPr>
      <t xml:space="preserve"> </t>
    </r>
  </si>
  <si>
    <r>
      <t>raw_events.event_timestamp</t>
    </r>
    <r>
      <rPr>
        <sz val="12"/>
        <color rgb="FF3A474E"/>
        <rFont val="Menlo"/>
        <family val="2"/>
      </rPr>
      <t>;</t>
    </r>
  </si>
  <si>
    <t>user_engagement</t>
  </si>
  <si>
    <t>scroll</t>
  </si>
  <si>
    <t>page_view</t>
  </si>
  <si>
    <t>first_visit</t>
  </si>
  <si>
    <t>select_item</t>
  </si>
  <si>
    <t>view_promotion</t>
  </si>
  <si>
    <t>select_promotion</t>
  </si>
  <si>
    <t>begin_checkout</t>
  </si>
  <si>
    <t>click</t>
  </si>
  <si>
    <t>add_shipping_info</t>
  </si>
  <si>
    <t>view_search_results</t>
  </si>
  <si>
    <t>add_payment_info</t>
  </si>
  <si>
    <t>purchase</t>
  </si>
  <si>
    <t>view_item_list</t>
  </si>
  <si>
    <t>event_count</t>
  </si>
  <si>
    <t>`turing_data_analytics.raw_events`</t>
  </si>
  <si>
    <r>
      <t>GROUP</t>
    </r>
    <r>
      <rPr>
        <sz val="12"/>
        <color rgb="FF3A474E"/>
        <rFont val="Menlo"/>
        <family val="2"/>
      </rPr>
      <t xml:space="preserve"> </t>
    </r>
    <r>
      <rPr>
        <sz val="12"/>
        <color rgb="FF3367D6"/>
        <rFont val="Menlo"/>
        <family val="2"/>
      </rPr>
      <t>BY</t>
    </r>
    <r>
      <rPr>
        <sz val="12"/>
        <color rgb="FF3A474E"/>
        <rFont val="Menlo"/>
        <family val="2"/>
      </rPr>
      <t xml:space="preserve"> </t>
    </r>
  </si>
  <si>
    <r>
      <t>event_name</t>
    </r>
    <r>
      <rPr>
        <sz val="12"/>
        <color rgb="FF3A474E"/>
        <rFont val="Menlo"/>
        <family val="2"/>
      </rPr>
      <t xml:space="preserve">, </t>
    </r>
    <r>
      <rPr>
        <sz val="12"/>
        <color rgb="FF000000"/>
        <rFont val="Menlo"/>
        <family val="2"/>
      </rPr>
      <t>user_pseudo_id</t>
    </r>
  </si>
  <si>
    <r>
      <t>COUNT</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event_count</t>
    </r>
    <r>
      <rPr>
        <sz val="12"/>
        <color rgb="FF3A474E"/>
        <rFont val="Menlo"/>
        <family val="2"/>
      </rPr>
      <t xml:space="preserve"> </t>
    </r>
    <r>
      <rPr>
        <sz val="12"/>
        <color rgb="FFD81B60"/>
        <rFont val="Menlo"/>
        <family val="2"/>
      </rPr>
      <t>-- Count the occurrences of each event_name</t>
    </r>
  </si>
  <si>
    <r>
      <t>ON</t>
    </r>
    <r>
      <rPr>
        <sz val="12"/>
        <color rgb="FF3A474E"/>
        <rFont val="Menlo"/>
        <family val="2"/>
      </rPr>
      <t xml:space="preserve"> </t>
    </r>
  </si>
  <si>
    <r>
      <t>raw_events.user_pseudo_id</t>
    </r>
    <r>
      <rPr>
        <sz val="12"/>
        <color rgb="FF3A474E"/>
        <rFont val="Menlo"/>
        <family val="2"/>
      </rPr>
      <t xml:space="preserve"> = </t>
    </r>
    <r>
      <rPr>
        <sz val="12"/>
        <color rgb="FF000000"/>
        <rFont val="Menlo"/>
        <family val="2"/>
      </rPr>
      <t>agg.user_pseudo_id</t>
    </r>
    <r>
      <rPr>
        <sz val="12"/>
        <color rgb="FF3A474E"/>
        <rFont val="Menlo"/>
        <family val="2"/>
      </rPr>
      <t xml:space="preserve"> </t>
    </r>
  </si>
  <si>
    <r>
      <t>raw_events.event_name</t>
    </r>
    <r>
      <rPr>
        <sz val="12"/>
        <color rgb="FF3A474E"/>
        <rFont val="Menlo"/>
        <family val="2"/>
      </rPr>
      <t xml:space="preserve"> </t>
    </r>
    <r>
      <rPr>
        <sz val="12"/>
        <color rgb="FFD81B60"/>
        <rFont val="Menlo"/>
        <family val="2"/>
      </rPr>
      <t>-- Group by event_name to aggregate counts</t>
    </r>
  </si>
  <si>
    <t>India</t>
  </si>
  <si>
    <t>Canada</t>
  </si>
  <si>
    <t>1. Selecting funnel categories</t>
  </si>
  <si>
    <t>Event name</t>
  </si>
  <si>
    <t>FUNNEL ANALYSIS</t>
  </si>
  <si>
    <t>Total events count across all countries</t>
  </si>
  <si>
    <t>Event order</t>
  </si>
  <si>
    <t>Insights</t>
  </si>
  <si>
    <r>
      <t xml:space="preserve">► </t>
    </r>
    <r>
      <rPr>
        <b/>
        <sz val="12"/>
        <color rgb="FF000000"/>
        <rFont val="Arial (Body)"/>
      </rPr>
      <t>Top 3 countries</t>
    </r>
    <r>
      <rPr>
        <sz val="12"/>
        <color rgb="FF000000"/>
        <rFont val="Arial (Body)"/>
      </rPr>
      <t xml:space="preserve"> (US, India and Canada) </t>
    </r>
    <r>
      <rPr>
        <b/>
        <sz val="12"/>
        <color rgb="FF000000"/>
        <rFont val="Arial (Body)"/>
      </rPr>
      <t xml:space="preserve">accounts for 61% of total events </t>
    </r>
    <r>
      <rPr>
        <sz val="12"/>
        <color rgb="FF000000"/>
        <rFont val="Arial (Body)"/>
      </rPr>
      <t>and is representing roughly similar trends across each other and aggregate numbers.</t>
    </r>
  </si>
  <si>
    <t>► Check for segmentation across the particular users, there might be more patterns with additional data analysis (mobile vs desktop buyers, gender or time spent in shop, different time periods)</t>
  </si>
  <si>
    <t xml:space="preserve">► Figure out if marketing strategies are targeting correct audience. </t>
  </si>
  <si>
    <t>Event count (Absolute numbers)</t>
  </si>
  <si>
    <t>Total</t>
  </si>
  <si>
    <t>US</t>
  </si>
  <si>
    <t>-- Clean data</t>
  </si>
  <si>
    <t>-- Find events for funnel analysis</t>
  </si>
  <si>
    <r>
      <t>event_count</t>
    </r>
    <r>
      <rPr>
        <sz val="12"/>
        <color rgb="FF3A474E"/>
        <rFont val="Menlo"/>
        <family val="2"/>
      </rPr>
      <t xml:space="preserve"> </t>
    </r>
    <r>
      <rPr>
        <sz val="12"/>
        <color rgb="FF3367D6"/>
        <rFont val="Menlo"/>
        <family val="2"/>
      </rPr>
      <t>DESC</t>
    </r>
    <r>
      <rPr>
        <sz val="12"/>
        <color rgb="FF3A474E"/>
        <rFont val="Menlo"/>
        <family val="2"/>
      </rPr>
      <t xml:space="preserve">; </t>
    </r>
  </si>
  <si>
    <t>-- Find top 3 countries</t>
  </si>
  <si>
    <r>
      <t>raw_events.country</t>
    </r>
    <r>
      <rPr>
        <sz val="12"/>
        <color rgb="FF3A474E"/>
        <rFont val="Menlo"/>
        <family val="2"/>
      </rPr>
      <t xml:space="preserve">, </t>
    </r>
    <r>
      <rPr>
        <sz val="12"/>
        <color rgb="FFD81B60"/>
        <rFont val="Menlo"/>
        <family val="2"/>
      </rPr>
      <t>-- Select the country column</t>
    </r>
  </si>
  <si>
    <r>
      <t>COUNT</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event_count</t>
    </r>
    <r>
      <rPr>
        <sz val="12"/>
        <color rgb="FF3A474E"/>
        <rFont val="Menlo"/>
        <family val="2"/>
      </rPr>
      <t xml:space="preserve"> </t>
    </r>
    <r>
      <rPr>
        <sz val="12"/>
        <color rgb="FFD81B60"/>
        <rFont val="Menlo"/>
        <family val="2"/>
      </rPr>
      <t>-- Count the number of events per country</t>
    </r>
  </si>
  <si>
    <r>
      <t>raw_events.country</t>
    </r>
    <r>
      <rPr>
        <sz val="12"/>
        <color rgb="FF3A474E"/>
        <rFont val="Menlo"/>
        <family val="2"/>
      </rPr>
      <t xml:space="preserve"> </t>
    </r>
    <r>
      <rPr>
        <sz val="12"/>
        <color rgb="FFD81B60"/>
        <rFont val="Menlo"/>
        <family val="2"/>
      </rPr>
      <t>-- Group by country to aggregate counts</t>
    </r>
  </si>
  <si>
    <r>
      <t>LIMIT</t>
    </r>
    <r>
      <rPr>
        <sz val="12"/>
        <color rgb="FF3A474E"/>
        <rFont val="Menlo"/>
        <family val="2"/>
      </rPr>
      <t xml:space="preserve"> </t>
    </r>
    <r>
      <rPr>
        <sz val="12"/>
        <color rgb="FFF4511E"/>
        <rFont val="Menlo"/>
        <family val="2"/>
      </rPr>
      <t>3</t>
    </r>
    <r>
      <rPr>
        <sz val="12"/>
        <color rgb="FF3A474E"/>
        <rFont val="Menlo"/>
        <family val="2"/>
      </rPr>
      <t>;</t>
    </r>
  </si>
  <si>
    <t>-- Find aggregated and top3 countries selected funnels</t>
  </si>
  <si>
    <r>
      <t>WHERE</t>
    </r>
    <r>
      <rPr>
        <sz val="12"/>
        <color rgb="FF3A474E"/>
        <rFont val="Menlo"/>
        <family val="2"/>
      </rPr>
      <t xml:space="preserve"> </t>
    </r>
  </si>
  <si>
    <r>
      <t>event_name</t>
    </r>
    <r>
      <rPr>
        <sz val="12"/>
        <color rgb="FF3A474E"/>
        <rFont val="Menlo"/>
        <family val="2"/>
      </rPr>
      <t xml:space="preserve"> </t>
    </r>
    <r>
      <rPr>
        <sz val="12"/>
        <color rgb="FF3367D6"/>
        <rFont val="Menlo"/>
        <family val="2"/>
      </rPr>
      <t>IN</t>
    </r>
    <r>
      <rPr>
        <sz val="12"/>
        <color rgb="FF3A474E"/>
        <rFont val="Menlo"/>
        <family val="2"/>
      </rPr>
      <t xml:space="preserve"> </t>
    </r>
    <r>
      <rPr>
        <sz val="12"/>
        <color rgb="FF37474F"/>
        <rFont val="Menlo"/>
        <family val="2"/>
      </rPr>
      <t>(</t>
    </r>
    <r>
      <rPr>
        <sz val="12"/>
        <color rgb="FF0D904F"/>
        <rFont val="Menlo"/>
        <family val="2"/>
      </rPr>
      <t>'session_start'</t>
    </r>
    <r>
      <rPr>
        <sz val="12"/>
        <color rgb="FF3A474E"/>
        <rFont val="Menlo"/>
        <family val="2"/>
      </rPr>
      <t xml:space="preserve">, </t>
    </r>
    <r>
      <rPr>
        <sz val="12"/>
        <color rgb="FF0D904F"/>
        <rFont val="Menlo"/>
        <family val="2"/>
      </rPr>
      <t>'scroll'</t>
    </r>
    <r>
      <rPr>
        <sz val="12"/>
        <color rgb="FF3A474E"/>
        <rFont val="Menlo"/>
        <family val="2"/>
      </rPr>
      <t xml:space="preserve">, </t>
    </r>
    <r>
      <rPr>
        <sz val="12"/>
        <color rgb="FF0D904F"/>
        <rFont val="Menlo"/>
        <family val="2"/>
      </rPr>
      <t>'view_item'</t>
    </r>
    <r>
      <rPr>
        <sz val="12"/>
        <color rgb="FF3A474E"/>
        <rFont val="Menlo"/>
        <family val="2"/>
      </rPr>
      <t xml:space="preserve">, </t>
    </r>
    <r>
      <rPr>
        <sz val="12"/>
        <color rgb="FF0D904F"/>
        <rFont val="Menlo"/>
        <family val="2"/>
      </rPr>
      <t>'add_to_cart'</t>
    </r>
    <r>
      <rPr>
        <sz val="12"/>
        <color rgb="FF3A474E"/>
        <rFont val="Menlo"/>
        <family val="2"/>
      </rPr>
      <t xml:space="preserve">, </t>
    </r>
    <r>
      <rPr>
        <sz val="12"/>
        <color rgb="FF0D904F"/>
        <rFont val="Menlo"/>
        <family val="2"/>
      </rPr>
      <t>'add_payment_info'</t>
    </r>
    <r>
      <rPr>
        <sz val="12"/>
        <color rgb="FF3A474E"/>
        <rFont val="Menlo"/>
        <family val="2"/>
      </rPr>
      <t xml:space="preserve">, </t>
    </r>
    <r>
      <rPr>
        <sz val="12"/>
        <color rgb="FF0D904F"/>
        <rFont val="Menlo"/>
        <family val="2"/>
      </rPr>
      <t>'purchase'</t>
    </r>
    <r>
      <rPr>
        <sz val="12"/>
        <color rgb="FF37474F"/>
        <rFont val="Menlo"/>
        <family val="2"/>
      </rPr>
      <t>)</t>
    </r>
  </si>
  <si>
    <r>
      <t>raw_events.event_name</t>
    </r>
    <r>
      <rPr>
        <sz val="12"/>
        <color rgb="FF3A474E"/>
        <rFont val="Menlo"/>
        <family val="2"/>
      </rPr>
      <t xml:space="preserve">, </t>
    </r>
  </si>
  <si>
    <r>
      <t>COUNT</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event_count</t>
    </r>
    <r>
      <rPr>
        <sz val="12"/>
        <color rgb="FF3A474E"/>
        <rFont val="Menlo"/>
        <family val="2"/>
      </rPr>
      <t xml:space="preserve">, </t>
    </r>
    <r>
      <rPr>
        <sz val="12"/>
        <color rgb="FFD81B60"/>
        <rFont val="Menlo"/>
        <family val="2"/>
      </rPr>
      <t>-- Count the total occurrences of each event_name</t>
    </r>
  </si>
  <si>
    <r>
      <t>SUM</t>
    </r>
    <r>
      <rPr>
        <sz val="12"/>
        <color rgb="FF37474F"/>
        <rFont val="Menlo"/>
        <family val="2"/>
      </rPr>
      <t>(</t>
    </r>
    <r>
      <rPr>
        <sz val="12"/>
        <color rgb="FF3367D6"/>
        <rFont val="Menlo"/>
        <family val="2"/>
      </rPr>
      <t>CASE</t>
    </r>
    <r>
      <rPr>
        <sz val="12"/>
        <color rgb="FF3A474E"/>
        <rFont val="Menlo"/>
        <family val="2"/>
      </rPr>
      <t xml:space="preserve"> </t>
    </r>
    <r>
      <rPr>
        <sz val="12"/>
        <color rgb="FF3367D6"/>
        <rFont val="Menlo"/>
        <family val="2"/>
      </rPr>
      <t>WHEN</t>
    </r>
    <r>
      <rPr>
        <sz val="12"/>
        <color rgb="FF3A474E"/>
        <rFont val="Menlo"/>
        <family val="2"/>
      </rPr>
      <t xml:space="preserve"> </t>
    </r>
    <r>
      <rPr>
        <sz val="12"/>
        <color rgb="FF000000"/>
        <rFont val="Menlo"/>
        <family val="2"/>
      </rPr>
      <t>raw_events.country</t>
    </r>
    <r>
      <rPr>
        <sz val="12"/>
        <color rgb="FF3A474E"/>
        <rFont val="Menlo"/>
        <family val="2"/>
      </rPr>
      <t xml:space="preserve"> = </t>
    </r>
    <r>
      <rPr>
        <sz val="12"/>
        <color rgb="FF0D904F"/>
        <rFont val="Menlo"/>
        <family val="2"/>
      </rPr>
      <t>'United States'</t>
    </r>
    <r>
      <rPr>
        <sz val="12"/>
        <color rgb="FF3A474E"/>
        <rFont val="Menlo"/>
        <family val="2"/>
      </rPr>
      <t xml:space="preserve"> </t>
    </r>
    <r>
      <rPr>
        <sz val="12"/>
        <color rgb="FF3367D6"/>
        <rFont val="Menlo"/>
        <family val="2"/>
      </rPr>
      <t>THEN</t>
    </r>
    <r>
      <rPr>
        <sz val="12"/>
        <color rgb="FF3A474E"/>
        <rFont val="Menlo"/>
        <family val="2"/>
      </rPr>
      <t xml:space="preserve"> </t>
    </r>
    <r>
      <rPr>
        <sz val="12"/>
        <color rgb="FFF4511E"/>
        <rFont val="Menlo"/>
        <family val="2"/>
      </rPr>
      <t>1</t>
    </r>
    <r>
      <rPr>
        <sz val="12"/>
        <color rgb="FF3A474E"/>
        <rFont val="Menlo"/>
        <family val="2"/>
      </rPr>
      <t xml:space="preserve"> </t>
    </r>
    <r>
      <rPr>
        <sz val="12"/>
        <color rgb="FF3367D6"/>
        <rFont val="Menlo"/>
        <family val="2"/>
      </rPr>
      <t>ELSE</t>
    </r>
    <r>
      <rPr>
        <sz val="12"/>
        <color rgb="FF3A474E"/>
        <rFont val="Menlo"/>
        <family val="2"/>
      </rPr>
      <t xml:space="preserve"> </t>
    </r>
    <r>
      <rPr>
        <sz val="12"/>
        <color rgb="FFF4511E"/>
        <rFont val="Menlo"/>
        <family val="2"/>
      </rPr>
      <t>0</t>
    </r>
    <r>
      <rPr>
        <sz val="12"/>
        <color rgb="FF3A474E"/>
        <rFont val="Menlo"/>
        <family val="2"/>
      </rPr>
      <t xml:space="preserve"> </t>
    </r>
    <r>
      <rPr>
        <sz val="12"/>
        <color rgb="FF3367D6"/>
        <rFont val="Menlo"/>
        <family val="2"/>
      </rPr>
      <t>END</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US_count</t>
    </r>
    <r>
      <rPr>
        <sz val="12"/>
        <color rgb="FF3A474E"/>
        <rFont val="Menlo"/>
        <family val="2"/>
      </rPr>
      <t xml:space="preserve">, </t>
    </r>
  </si>
  <si>
    <r>
      <t>SUM</t>
    </r>
    <r>
      <rPr>
        <sz val="12"/>
        <color rgb="FF37474F"/>
        <rFont val="Menlo"/>
        <family val="2"/>
      </rPr>
      <t>(</t>
    </r>
    <r>
      <rPr>
        <sz val="12"/>
        <color rgb="FF3367D6"/>
        <rFont val="Menlo"/>
        <family val="2"/>
      </rPr>
      <t>CASE</t>
    </r>
    <r>
      <rPr>
        <sz val="12"/>
        <color rgb="FF3A474E"/>
        <rFont val="Menlo"/>
        <family val="2"/>
      </rPr>
      <t xml:space="preserve"> </t>
    </r>
    <r>
      <rPr>
        <sz val="12"/>
        <color rgb="FF3367D6"/>
        <rFont val="Menlo"/>
        <family val="2"/>
      </rPr>
      <t>WHEN</t>
    </r>
    <r>
      <rPr>
        <sz val="12"/>
        <color rgb="FF3A474E"/>
        <rFont val="Menlo"/>
        <family val="2"/>
      </rPr>
      <t xml:space="preserve"> </t>
    </r>
    <r>
      <rPr>
        <sz val="12"/>
        <color rgb="FF000000"/>
        <rFont val="Menlo"/>
        <family val="2"/>
      </rPr>
      <t>raw_events.country</t>
    </r>
    <r>
      <rPr>
        <sz val="12"/>
        <color rgb="FF3A474E"/>
        <rFont val="Menlo"/>
        <family val="2"/>
      </rPr>
      <t xml:space="preserve"> = </t>
    </r>
    <r>
      <rPr>
        <sz val="12"/>
        <color rgb="FF0D904F"/>
        <rFont val="Menlo"/>
        <family val="2"/>
      </rPr>
      <t>'India'</t>
    </r>
    <r>
      <rPr>
        <sz val="12"/>
        <color rgb="FF3A474E"/>
        <rFont val="Menlo"/>
        <family val="2"/>
      </rPr>
      <t xml:space="preserve"> </t>
    </r>
    <r>
      <rPr>
        <sz val="12"/>
        <color rgb="FF3367D6"/>
        <rFont val="Menlo"/>
        <family val="2"/>
      </rPr>
      <t>THEN</t>
    </r>
    <r>
      <rPr>
        <sz val="12"/>
        <color rgb="FF3A474E"/>
        <rFont val="Menlo"/>
        <family val="2"/>
      </rPr>
      <t xml:space="preserve"> </t>
    </r>
    <r>
      <rPr>
        <sz val="12"/>
        <color rgb="FFF4511E"/>
        <rFont val="Menlo"/>
        <family val="2"/>
      </rPr>
      <t>1</t>
    </r>
    <r>
      <rPr>
        <sz val="12"/>
        <color rgb="FF3A474E"/>
        <rFont val="Menlo"/>
        <family val="2"/>
      </rPr>
      <t xml:space="preserve"> </t>
    </r>
    <r>
      <rPr>
        <sz val="12"/>
        <color rgb="FF3367D6"/>
        <rFont val="Menlo"/>
        <family val="2"/>
      </rPr>
      <t>ELSE</t>
    </r>
    <r>
      <rPr>
        <sz val="12"/>
        <color rgb="FF3A474E"/>
        <rFont val="Menlo"/>
        <family val="2"/>
      </rPr>
      <t xml:space="preserve"> </t>
    </r>
    <r>
      <rPr>
        <sz val="12"/>
        <color rgb="FFF4511E"/>
        <rFont val="Menlo"/>
        <family val="2"/>
      </rPr>
      <t>0</t>
    </r>
    <r>
      <rPr>
        <sz val="12"/>
        <color rgb="FF3A474E"/>
        <rFont val="Menlo"/>
        <family val="2"/>
      </rPr>
      <t xml:space="preserve"> </t>
    </r>
    <r>
      <rPr>
        <sz val="12"/>
        <color rgb="FF3367D6"/>
        <rFont val="Menlo"/>
        <family val="2"/>
      </rPr>
      <t>END</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India_count</t>
    </r>
    <r>
      <rPr>
        <sz val="12"/>
        <color rgb="FF3A474E"/>
        <rFont val="Menlo"/>
        <family val="2"/>
      </rPr>
      <t xml:space="preserve">, </t>
    </r>
  </si>
  <si>
    <r>
      <t>SUM</t>
    </r>
    <r>
      <rPr>
        <sz val="12"/>
        <color rgb="FF37474F"/>
        <rFont val="Menlo"/>
        <family val="2"/>
      </rPr>
      <t>(</t>
    </r>
    <r>
      <rPr>
        <sz val="12"/>
        <color rgb="FF3367D6"/>
        <rFont val="Menlo"/>
        <family val="2"/>
      </rPr>
      <t>CASE</t>
    </r>
    <r>
      <rPr>
        <sz val="12"/>
        <color rgb="FF3A474E"/>
        <rFont val="Menlo"/>
        <family val="2"/>
      </rPr>
      <t xml:space="preserve"> </t>
    </r>
    <r>
      <rPr>
        <sz val="12"/>
        <color rgb="FF3367D6"/>
        <rFont val="Menlo"/>
        <family val="2"/>
      </rPr>
      <t>WHEN</t>
    </r>
    <r>
      <rPr>
        <sz val="12"/>
        <color rgb="FF3A474E"/>
        <rFont val="Menlo"/>
        <family val="2"/>
      </rPr>
      <t xml:space="preserve"> </t>
    </r>
    <r>
      <rPr>
        <sz val="12"/>
        <color rgb="FF000000"/>
        <rFont val="Menlo"/>
        <family val="2"/>
      </rPr>
      <t>raw_events.country</t>
    </r>
    <r>
      <rPr>
        <sz val="12"/>
        <color rgb="FF3A474E"/>
        <rFont val="Menlo"/>
        <family val="2"/>
      </rPr>
      <t xml:space="preserve"> = </t>
    </r>
    <r>
      <rPr>
        <sz val="12"/>
        <color rgb="FF0D904F"/>
        <rFont val="Menlo"/>
        <family val="2"/>
      </rPr>
      <t>'Canada'</t>
    </r>
    <r>
      <rPr>
        <sz val="12"/>
        <color rgb="FF3A474E"/>
        <rFont val="Menlo"/>
        <family val="2"/>
      </rPr>
      <t xml:space="preserve"> </t>
    </r>
    <r>
      <rPr>
        <sz val="12"/>
        <color rgb="FF3367D6"/>
        <rFont val="Menlo"/>
        <family val="2"/>
      </rPr>
      <t>THEN</t>
    </r>
    <r>
      <rPr>
        <sz val="12"/>
        <color rgb="FF3A474E"/>
        <rFont val="Menlo"/>
        <family val="2"/>
      </rPr>
      <t xml:space="preserve"> </t>
    </r>
    <r>
      <rPr>
        <sz val="12"/>
        <color rgb="FFF4511E"/>
        <rFont val="Menlo"/>
        <family val="2"/>
      </rPr>
      <t>1</t>
    </r>
    <r>
      <rPr>
        <sz val="12"/>
        <color rgb="FF3A474E"/>
        <rFont val="Menlo"/>
        <family val="2"/>
      </rPr>
      <t xml:space="preserve"> </t>
    </r>
    <r>
      <rPr>
        <sz val="12"/>
        <color rgb="FF3367D6"/>
        <rFont val="Menlo"/>
        <family val="2"/>
      </rPr>
      <t>ELSE</t>
    </r>
    <r>
      <rPr>
        <sz val="12"/>
        <color rgb="FF3A474E"/>
        <rFont val="Menlo"/>
        <family val="2"/>
      </rPr>
      <t xml:space="preserve"> </t>
    </r>
    <r>
      <rPr>
        <sz val="12"/>
        <color rgb="FFF4511E"/>
        <rFont val="Menlo"/>
        <family val="2"/>
      </rPr>
      <t>0</t>
    </r>
    <r>
      <rPr>
        <sz val="12"/>
        <color rgb="FF3A474E"/>
        <rFont val="Menlo"/>
        <family val="2"/>
      </rPr>
      <t xml:space="preserve"> </t>
    </r>
    <r>
      <rPr>
        <sz val="12"/>
        <color rgb="FF3367D6"/>
        <rFont val="Menlo"/>
        <family val="2"/>
      </rPr>
      <t>END</t>
    </r>
    <r>
      <rPr>
        <sz val="12"/>
        <color rgb="FF37474F"/>
        <rFont val="Menlo"/>
        <family val="2"/>
      </rPr>
      <t>)</t>
    </r>
    <r>
      <rPr>
        <sz val="12"/>
        <color rgb="FF3A474E"/>
        <rFont val="Menlo"/>
        <family val="2"/>
      </rPr>
      <t xml:space="preserve"> </t>
    </r>
    <r>
      <rPr>
        <sz val="12"/>
        <color rgb="FF3367D6"/>
        <rFont val="Menlo"/>
        <family val="2"/>
      </rPr>
      <t>AS</t>
    </r>
    <r>
      <rPr>
        <sz val="12"/>
        <color rgb="FF3A474E"/>
        <rFont val="Menlo"/>
        <family val="2"/>
      </rPr>
      <t xml:space="preserve"> </t>
    </r>
    <r>
      <rPr>
        <sz val="12"/>
        <color rgb="FF000000"/>
        <rFont val="Menlo"/>
        <family val="2"/>
      </rPr>
      <t>Canada_count</t>
    </r>
    <r>
      <rPr>
        <sz val="12"/>
        <color rgb="FF3A474E"/>
        <rFont val="Menlo"/>
        <family val="2"/>
      </rPr>
      <t xml:space="preserve"> </t>
    </r>
  </si>
  <si>
    <t>WHERE</t>
  </si>
  <si>
    <r>
      <t>raw_events.event_name</t>
    </r>
    <r>
      <rPr>
        <sz val="12"/>
        <color rgb="FF3A474E"/>
        <rFont val="Menlo"/>
        <family val="2"/>
      </rPr>
      <t xml:space="preserve"> </t>
    </r>
    <r>
      <rPr>
        <sz val="12"/>
        <color rgb="FF3367D6"/>
        <rFont val="Menlo"/>
        <family val="2"/>
      </rPr>
      <t>IN</t>
    </r>
    <r>
      <rPr>
        <sz val="12"/>
        <color rgb="FF3A474E"/>
        <rFont val="Menlo"/>
        <family val="2"/>
      </rPr>
      <t xml:space="preserve"> </t>
    </r>
    <r>
      <rPr>
        <sz val="12"/>
        <color rgb="FF37474F"/>
        <rFont val="Menlo"/>
        <family val="2"/>
      </rPr>
      <t>(</t>
    </r>
    <r>
      <rPr>
        <sz val="12"/>
        <color rgb="FF0D904F"/>
        <rFont val="Menlo"/>
        <family val="2"/>
      </rPr>
      <t>'session_start'</t>
    </r>
    <r>
      <rPr>
        <sz val="12"/>
        <color rgb="FF3A474E"/>
        <rFont val="Menlo"/>
        <family val="2"/>
      </rPr>
      <t xml:space="preserve">, </t>
    </r>
    <r>
      <rPr>
        <sz val="12"/>
        <color rgb="FF0D904F"/>
        <rFont val="Menlo"/>
        <family val="2"/>
      </rPr>
      <t>'scroll'</t>
    </r>
    <r>
      <rPr>
        <sz val="12"/>
        <color rgb="FF3A474E"/>
        <rFont val="Menlo"/>
        <family val="2"/>
      </rPr>
      <t xml:space="preserve">, </t>
    </r>
    <r>
      <rPr>
        <sz val="12"/>
        <color rgb="FF0D904F"/>
        <rFont val="Menlo"/>
        <family val="2"/>
      </rPr>
      <t>'view_item'</t>
    </r>
    <r>
      <rPr>
        <sz val="12"/>
        <color rgb="FF3A474E"/>
        <rFont val="Menlo"/>
        <family val="2"/>
      </rPr>
      <t xml:space="preserve">, </t>
    </r>
    <r>
      <rPr>
        <sz val="12"/>
        <color rgb="FF0D904F"/>
        <rFont val="Menlo"/>
        <family val="2"/>
      </rPr>
      <t>'add_to_cart'</t>
    </r>
    <r>
      <rPr>
        <sz val="12"/>
        <color rgb="FF3A474E"/>
        <rFont val="Menlo"/>
        <family val="2"/>
      </rPr>
      <t xml:space="preserve">, </t>
    </r>
    <r>
      <rPr>
        <sz val="12"/>
        <color rgb="FF0D904F"/>
        <rFont val="Menlo"/>
        <family val="2"/>
      </rPr>
      <t>'add_payment_info'</t>
    </r>
    <r>
      <rPr>
        <sz val="12"/>
        <color rgb="FF3A474E"/>
        <rFont val="Menlo"/>
        <family val="2"/>
      </rPr>
      <t xml:space="preserve">, </t>
    </r>
    <r>
      <rPr>
        <sz val="12"/>
        <color rgb="FF0D904F"/>
        <rFont val="Menlo"/>
        <family val="2"/>
      </rPr>
      <t>'purchase'</t>
    </r>
    <r>
      <rPr>
        <sz val="12"/>
        <color rgb="FF37474F"/>
        <rFont val="Menlo"/>
        <family val="2"/>
      </rPr>
      <t>)</t>
    </r>
  </si>
  <si>
    <r>
      <t>raw_events.event_name</t>
    </r>
    <r>
      <rPr>
        <sz val="12"/>
        <color rgb="FF3A474E"/>
        <rFont val="Menlo"/>
        <family val="2"/>
      </rPr>
      <t xml:space="preserve"> </t>
    </r>
  </si>
  <si>
    <r>
      <t>event_count</t>
    </r>
    <r>
      <rPr>
        <sz val="12"/>
        <color rgb="FF3A474E"/>
        <rFont val="Menlo"/>
        <family val="2"/>
      </rPr>
      <t xml:space="preserve"> </t>
    </r>
    <r>
      <rPr>
        <sz val="12"/>
        <color rgb="FF3367D6"/>
        <rFont val="Menlo"/>
        <family val="2"/>
      </rPr>
      <t>DESC</t>
    </r>
    <r>
      <rPr>
        <sz val="12"/>
        <color rgb="FF3A474E"/>
        <rFont val="Menlo"/>
        <family val="2"/>
      </rPr>
      <t xml:space="preserve"> </t>
    </r>
  </si>
  <si>
    <t>Event count (% drop from the previous step)</t>
  </si>
  <si>
    <t>Session start</t>
  </si>
  <si>
    <t>Scroll</t>
  </si>
  <si>
    <t>View item</t>
  </si>
  <si>
    <t>Add to cart</t>
  </si>
  <si>
    <t>Add payment info</t>
  </si>
  <si>
    <t>Purchase</t>
  </si>
  <si>
    <r>
      <t xml:space="preserve">► </t>
    </r>
    <r>
      <rPr>
        <i/>
        <sz val="12"/>
        <color rgb="FF000000"/>
        <rFont val="Arial (Body)"/>
      </rPr>
      <t>Bottle-neck check.</t>
    </r>
    <r>
      <rPr>
        <sz val="12"/>
        <color rgb="FF000000"/>
        <rFont val="Arial (Body)"/>
      </rPr>
      <t xml:space="preserve"> Funnel element "add to chart" part falls drastically around 80% across all analysed geographies. Would recommend to look more deeply into this step (additional micro funnel and later A/B </t>
    </r>
  </si>
  <si>
    <t>testing based on gathered insights).</t>
  </si>
  <si>
    <r>
      <t xml:space="preserve">► Cleaned dataset consistet of more than </t>
    </r>
    <r>
      <rPr>
        <b/>
        <sz val="12"/>
        <color rgb="FF000000"/>
        <rFont val="Arial (Body)"/>
      </rPr>
      <t>1.3 million events</t>
    </r>
    <r>
      <rPr>
        <sz val="12"/>
        <color rgb="FF000000"/>
        <rFont val="Arial (Body)"/>
      </rPr>
      <t xml:space="preserve">, within </t>
    </r>
    <r>
      <rPr>
        <b/>
        <sz val="12"/>
        <color rgb="FF000000"/>
        <rFont val="Arial (Body)"/>
      </rPr>
      <t>270k unique accounts across 109 countries</t>
    </r>
    <r>
      <rPr>
        <sz val="12"/>
        <color rgb="FF000000"/>
        <rFont val="Arial (Body)"/>
      </rPr>
      <t>. From all data almost 500k interactions analysed within this funnel analysis.</t>
    </r>
  </si>
  <si>
    <t>INDIA</t>
  </si>
  <si>
    <t>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</si>
</sst>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1" x14ac:knownFonts="1">
    <font>
      <sz val="10"/>
      <color rgb="FF000000"/>
      <name val="Arial"/>
      <scheme val="minor"/>
    </font>
    <font>
      <b/>
      <sz val="10"/>
      <color theme="1"/>
      <name val="Arial"/>
      <family val="2"/>
    </font>
    <font>
      <u/>
      <sz val="10"/>
      <color rgb="FF1155CC"/>
      <name val="Arial"/>
      <family val="2"/>
    </font>
    <font>
      <sz val="10"/>
      <color theme="1"/>
      <name val="Arial"/>
      <family val="2"/>
    </font>
    <font>
      <sz val="11"/>
      <color rgb="FF000000"/>
      <name val="Roboto"/>
    </font>
    <font>
      <b/>
      <sz val="11"/>
      <color theme="1"/>
      <name val="Arial"/>
      <family val="2"/>
    </font>
    <font>
      <sz val="10"/>
      <color rgb="FF000000"/>
      <name val="Arial"/>
      <family val="2"/>
      <scheme val="minor"/>
    </font>
    <font>
      <sz val="12"/>
      <color theme="0"/>
      <name val="Arial"/>
      <family val="2"/>
      <scheme val="minor"/>
    </font>
    <font>
      <sz val="12"/>
      <color rgb="FF3A474E"/>
      <name val="Menlo"/>
      <family val="2"/>
    </font>
    <font>
      <sz val="12"/>
      <color rgb="FF3367D6"/>
      <name val="Menlo"/>
      <family val="2"/>
    </font>
    <font>
      <sz val="12"/>
      <color rgb="FF000000"/>
      <name val="Menlo"/>
      <family val="2"/>
    </font>
    <font>
      <sz val="12"/>
      <color rgb="FF37474F"/>
      <name val="Menlo"/>
      <family val="2"/>
    </font>
    <font>
      <sz val="12"/>
      <color rgb="FF0D904F"/>
      <name val="Menlo"/>
      <family val="2"/>
    </font>
    <font>
      <sz val="12"/>
      <color rgb="FFD81B60"/>
      <name val="Menlo"/>
      <family val="2"/>
    </font>
    <font>
      <b/>
      <sz val="10"/>
      <color rgb="FF000000"/>
      <name val="Arial"/>
      <family val="2"/>
      <scheme val="minor"/>
    </font>
    <font>
      <b/>
      <sz val="12"/>
      <color rgb="FF000000"/>
      <name val="Arial (Body)"/>
    </font>
    <font>
      <sz val="12"/>
      <color rgb="FF000000"/>
      <name val="Arial (Body)"/>
    </font>
    <font>
      <b/>
      <sz val="12"/>
      <color theme="1"/>
      <name val="Arial (Body)"/>
    </font>
    <font>
      <sz val="12"/>
      <color theme="1"/>
      <name val="Arial (Body)"/>
    </font>
    <font>
      <sz val="14"/>
      <color rgb="FF000000"/>
      <name val="Arial"/>
      <family val="2"/>
      <scheme val="minor"/>
    </font>
    <font>
      <sz val="20"/>
      <color theme="3" tint="0.249977111117893"/>
      <name val="Arial (Body)"/>
    </font>
    <font>
      <sz val="12"/>
      <color theme="3" tint="0.249977111117893"/>
      <name val="Arial (Body)"/>
    </font>
    <font>
      <b/>
      <sz val="14"/>
      <color theme="3" tint="0.249977111117893"/>
      <name val="Arial"/>
      <family val="2"/>
      <scheme val="minor"/>
    </font>
    <font>
      <sz val="14"/>
      <color theme="3" tint="0.249977111117893"/>
      <name val="Arial"/>
      <family val="2"/>
      <scheme val="minor"/>
    </font>
    <font>
      <sz val="12"/>
      <color theme="3" tint="0.249977111117893"/>
      <name val="Arial"/>
      <family val="2"/>
      <scheme val="minor"/>
    </font>
    <font>
      <b/>
      <sz val="12"/>
      <color theme="3" tint="0.249977111117893"/>
      <name val="Arial (Body)"/>
    </font>
    <font>
      <b/>
      <sz val="20"/>
      <color theme="4"/>
      <name val="Arial (Body)"/>
    </font>
    <font>
      <sz val="13"/>
      <color rgb="FF000000"/>
      <name val="Arial"/>
      <family val="2"/>
      <scheme val="minor"/>
    </font>
    <font>
      <b/>
      <sz val="16"/>
      <color theme="4"/>
      <name val="Arial"/>
      <family val="2"/>
      <scheme val="minor"/>
    </font>
    <font>
      <i/>
      <sz val="12"/>
      <color rgb="FF000000"/>
      <name val="Arial (Body)"/>
    </font>
    <font>
      <sz val="12"/>
      <color rgb="FFF4511E"/>
      <name val="Menlo"/>
      <family val="2"/>
    </font>
  </fonts>
  <fills count="8">
    <fill>
      <patternFill patternType="none"/>
    </fill>
    <fill>
      <patternFill patternType="gray125"/>
    </fill>
    <fill>
      <patternFill patternType="solid">
        <fgColor rgb="FFFFFFFF"/>
        <bgColor rgb="FFFFFFFF"/>
      </patternFill>
    </fill>
    <fill>
      <patternFill patternType="solid">
        <fgColor rgb="FFF1C232"/>
        <bgColor rgb="FFF1C232"/>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61">
    <xf numFmtId="0" fontId="0" fillId="0" borderId="0" xfId="0"/>
    <xf numFmtId="0" fontId="1" fillId="0" borderId="0" xfId="0" applyFont="1"/>
    <xf numFmtId="0" fontId="2" fillId="0" borderId="0" xfId="0" applyFont="1"/>
    <xf numFmtId="0" fontId="3" fillId="0" borderId="0" xfId="0" applyFont="1"/>
    <xf numFmtId="0" fontId="3" fillId="0" borderId="1" xfId="0" applyFont="1" applyBorder="1"/>
    <xf numFmtId="0" fontId="3" fillId="0" borderId="2" xfId="0" applyFont="1" applyBorder="1"/>
    <xf numFmtId="0" fontId="4" fillId="2" borderId="3" xfId="0" applyFont="1" applyFill="1" applyBorder="1"/>
    <xf numFmtId="0" fontId="3" fillId="3" borderId="0" xfId="0" applyFont="1" applyFill="1"/>
    <xf numFmtId="0" fontId="3" fillId="0" borderId="4" xfId="0" applyFont="1" applyBorder="1"/>
    <xf numFmtId="0" fontId="3" fillId="0" borderId="5" xfId="0" applyFont="1" applyBorder="1"/>
    <xf numFmtId="0" fontId="4" fillId="2" borderId="6" xfId="0" applyFont="1" applyFill="1" applyBorder="1"/>
    <xf numFmtId="0" fontId="3" fillId="3" borderId="5" xfId="0" applyFont="1" applyFill="1" applyBorder="1"/>
    <xf numFmtId="0" fontId="1" fillId="0" borderId="1" xfId="0" applyFont="1" applyBorder="1"/>
    <xf numFmtId="0" fontId="1" fillId="0" borderId="2" xfId="0" applyFont="1" applyBorder="1"/>
    <xf numFmtId="37" fontId="3" fillId="0" borderId="0" xfId="0" applyNumberFormat="1" applyFont="1"/>
    <xf numFmtId="10" fontId="3" fillId="0" borderId="0" xfId="0" applyNumberFormat="1" applyFont="1"/>
    <xf numFmtId="0" fontId="5" fillId="0" borderId="0" xfId="0" applyFont="1"/>
    <xf numFmtId="0" fontId="0" fillId="0" borderId="0" xfId="0"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6" fillId="0" borderId="0" xfId="0" applyFont="1"/>
    <xf numFmtId="0" fontId="14" fillId="0" borderId="0" xfId="0" applyFont="1"/>
    <xf numFmtId="0" fontId="0" fillId="4" borderId="0" xfId="0" applyFill="1"/>
    <xf numFmtId="164" fontId="0" fillId="0" borderId="0" xfId="1" applyNumberFormat="1" applyFont="1"/>
    <xf numFmtId="164" fontId="0" fillId="4" borderId="0" xfId="1" applyNumberFormat="1" applyFont="1" applyFill="1"/>
    <xf numFmtId="0" fontId="16" fillId="5" borderId="0" xfId="0" applyFont="1" applyFill="1"/>
    <xf numFmtId="0" fontId="17" fillId="5" borderId="0" xfId="0" applyFont="1" applyFill="1"/>
    <xf numFmtId="10" fontId="18" fillId="5" borderId="0" xfId="0" applyNumberFormat="1" applyFont="1" applyFill="1"/>
    <xf numFmtId="0" fontId="16" fillId="5" borderId="0" xfId="0" applyFont="1" applyFill="1" applyAlignment="1">
      <alignment horizontal="center" vertical="center" wrapText="1"/>
    </xf>
    <xf numFmtId="0" fontId="19" fillId="5" borderId="0" xfId="0" applyFont="1" applyFill="1"/>
    <xf numFmtId="9" fontId="7" fillId="5" borderId="8" xfId="2" applyFont="1" applyFill="1" applyBorder="1"/>
    <xf numFmtId="9" fontId="7" fillId="5" borderId="9" xfId="2" applyFont="1" applyFill="1" applyBorder="1"/>
    <xf numFmtId="0" fontId="3" fillId="5" borderId="0" xfId="0" applyFont="1" applyFill="1"/>
    <xf numFmtId="0" fontId="0" fillId="5" borderId="0" xfId="0" applyFill="1"/>
    <xf numFmtId="164" fontId="16" fillId="5" borderId="0" xfId="0" applyNumberFormat="1" applyFont="1" applyFill="1"/>
    <xf numFmtId="0" fontId="20" fillId="5" borderId="0" xfId="0" applyFont="1" applyFill="1" applyAlignment="1">
      <alignment horizontal="center"/>
    </xf>
    <xf numFmtId="0" fontId="21" fillId="5" borderId="0" xfId="0" applyFont="1" applyFill="1"/>
    <xf numFmtId="0" fontId="22" fillId="5" borderId="0" xfId="0" applyFont="1" applyFill="1"/>
    <xf numFmtId="0" fontId="23" fillId="5" borderId="0" xfId="0" applyFont="1" applyFill="1"/>
    <xf numFmtId="164" fontId="21" fillId="5" borderId="0" xfId="1" applyNumberFormat="1" applyFont="1" applyFill="1"/>
    <xf numFmtId="0" fontId="21"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21" fillId="5" borderId="0" xfId="0" applyFont="1" applyFill="1" applyAlignment="1">
      <alignment horizontal="center" vertical="center" wrapText="1"/>
    </xf>
    <xf numFmtId="0" fontId="21" fillId="5" borderId="7" xfId="0" applyFont="1" applyFill="1" applyBorder="1"/>
    <xf numFmtId="164" fontId="21" fillId="5" borderId="8" xfId="1" applyNumberFormat="1" applyFont="1" applyFill="1" applyBorder="1"/>
    <xf numFmtId="164" fontId="21" fillId="5" borderId="9" xfId="1" applyNumberFormat="1" applyFont="1" applyFill="1" applyBorder="1"/>
    <xf numFmtId="9" fontId="24" fillId="5" borderId="8" xfId="2" applyFont="1" applyFill="1" applyBorder="1"/>
    <xf numFmtId="9" fontId="24" fillId="5" borderId="9" xfId="2" applyFont="1" applyFill="1" applyBorder="1"/>
    <xf numFmtId="0" fontId="25" fillId="5" borderId="0" xfId="0" applyFont="1" applyFill="1"/>
    <xf numFmtId="43" fontId="27" fillId="0" borderId="0" xfId="1" applyFont="1"/>
    <xf numFmtId="0" fontId="16" fillId="7" borderId="0" xfId="0" applyFont="1" applyFill="1"/>
    <xf numFmtId="0" fontId="28" fillId="6" borderId="0" xfId="0" applyFont="1" applyFill="1" applyAlignment="1">
      <alignment vertical="center"/>
    </xf>
    <xf numFmtId="0" fontId="13" fillId="0" borderId="0" xfId="0" applyFont="1"/>
    <xf numFmtId="0" fontId="21" fillId="0" borderId="8" xfId="0" applyFont="1" applyBorder="1"/>
    <xf numFmtId="0" fontId="3" fillId="0" borderId="0" xfId="0" applyFont="1" applyAlignment="1">
      <alignment horizontal="left" wrapText="1"/>
    </xf>
    <xf numFmtId="0" fontId="16" fillId="7" borderId="0" xfId="0" applyFont="1" applyFill="1" applyAlignment="1">
      <alignment horizontal="left"/>
    </xf>
    <xf numFmtId="0" fontId="22" fillId="5" borderId="0" xfId="0" applyFont="1" applyFill="1" applyAlignment="1">
      <alignment horizontal="center"/>
    </xf>
    <xf numFmtId="0" fontId="26" fillId="6" borderId="0" xfId="0" applyFont="1" applyFill="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Array" Target="richData/rdarray.xml"/><Relationship Id="rId5" Type="http://schemas.openxmlformats.org/officeDocument/2006/relationships/theme" Target="theme/theme1.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B9C3326E-2AE3-DC45-9E73-D81F148F863C}">
          <cx:dataLabels pos="ctr">
            <cx:numFmt formatCode="#,##0" sourceLinked="0"/>
            <cx:txPr>
              <a:bodyPr vertOverflow="overflow" horzOverflow="overflow" wrap="square" lIns="0" tIns="0" rIns="0" bIns="0"/>
              <a:lstStyle/>
              <a:p>
                <a:pPr algn="ctr" rtl="0">
                  <a:defRPr sz="10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1000"/>
              </a:p>
            </cx:txPr>
            <cx:visibility seriesName="0" categoryName="0" value="1"/>
            <cx:separator>, </cx:separator>
          </cx:dataLabels>
          <cx:dataId val="0"/>
        </cx:series>
      </cx:plotAreaRegion>
      <cx:axis id="0">
        <cx:catScaling gapWidth="0.0599999987"/>
        <cx:tickLabels/>
        <cx:txPr>
          <a:bodyPr vertOverflow="overflow" horzOverflow="overflow" wrap="square" lIns="0" tIns="0" rIns="0" bIns="0"/>
          <a:lstStyle/>
          <a:p>
            <a:pPr algn="ctr" rtl="0">
              <a:defRPr sz="12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1200"/>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71D56801-3AE1-F446-B05A-22C94947B309}">
          <cx:dataLabels>
            <cx:txPr>
              <a:bodyPr vertOverflow="overflow" horzOverflow="overflow" wrap="square" lIns="0" tIns="0" rIns="0" bIns="0"/>
              <a:lstStyle/>
              <a:p>
                <a:pPr algn="ctr" rtl="0">
                  <a:defRPr sz="105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1050"/>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05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1050"/>
          </a:p>
        </cx:txPr>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DEE922F8-50CA-904E-92F8-6699BBEE2146}">
          <cx:dataLabels pos="ctr">
            <cx:txPr>
              <a:bodyPr vertOverflow="overflow" horzOverflow="overflow" wrap="square" lIns="0" tIns="0" rIns="0" bIns="0"/>
              <a:lstStyle/>
              <a:p>
                <a:pPr algn="ctr" rtl="0">
                  <a:defRPr sz="10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1000"/>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0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1000"/>
          </a:p>
        </cx:txPr>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87D3A898-43E2-8447-AD0B-5F70238EA66F}">
          <cx:dataLabels pos="ctr">
            <cx:txPr>
              <a:bodyPr vertOverflow="overflow" horzOverflow="overflow" wrap="square" lIns="0" tIns="0" rIns="0" bIns="0"/>
              <a:lstStyle/>
              <a:p>
                <a:pPr algn="ctr" rtl="0">
                  <a:defRPr sz="10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1000"/>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0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1000"/>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image" Target="../media/image1.png"/><Relationship Id="rId5" Type="http://schemas.openxmlformats.org/officeDocument/2006/relationships/customXml" Target="../ink/ink1.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1</xdr:col>
      <xdr:colOff>18144</xdr:colOff>
      <xdr:row>5</xdr:row>
      <xdr:rowOff>25400</xdr:rowOff>
    </xdr:from>
    <xdr:to>
      <xdr:col>13</xdr:col>
      <xdr:colOff>1016000</xdr:colOff>
      <xdr:row>19</xdr:row>
      <xdr:rowOff>124240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0E79991-B661-9279-A500-60C58AEE45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83344" y="1206500"/>
              <a:ext cx="13989956" cy="28039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470808</xdr:colOff>
      <xdr:row>15</xdr:row>
      <xdr:rowOff>45357</xdr:rowOff>
    </xdr:from>
    <xdr:to>
      <xdr:col>7</xdr:col>
      <xdr:colOff>978808</xdr:colOff>
      <xdr:row>16</xdr:row>
      <xdr:rowOff>83457</xdr:rowOff>
    </xdr:to>
    <xdr:sp macro="" textlink="">
      <xdr:nvSpPr>
        <xdr:cNvPr id="4" name="TextBox 3">
          <a:extLst>
            <a:ext uri="{FF2B5EF4-FFF2-40B4-BE49-F238E27FC236}">
              <a16:creationId xmlns:a16="http://schemas.microsoft.com/office/drawing/2014/main" id="{42CF3302-830F-3847-9AFA-5C7BA4DC2EA8}"/>
            </a:ext>
          </a:extLst>
        </xdr:cNvPr>
        <xdr:cNvSpPr txBox="1"/>
      </xdr:nvSpPr>
      <xdr:spPr>
        <a:xfrm>
          <a:off x="7945665" y="3292928"/>
          <a:ext cx="508000" cy="23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5,751</a:t>
          </a:r>
        </a:p>
      </xdr:txBody>
    </xdr:sp>
    <xdr:clientData/>
  </xdr:twoCellAnchor>
  <xdr:twoCellAnchor>
    <xdr:from>
      <xdr:col>7</xdr:col>
      <xdr:colOff>445408</xdr:colOff>
      <xdr:row>17</xdr:row>
      <xdr:rowOff>121557</xdr:rowOff>
    </xdr:from>
    <xdr:to>
      <xdr:col>7</xdr:col>
      <xdr:colOff>953408</xdr:colOff>
      <xdr:row>18</xdr:row>
      <xdr:rowOff>159657</xdr:rowOff>
    </xdr:to>
    <xdr:sp macro="" textlink="">
      <xdr:nvSpPr>
        <xdr:cNvPr id="5" name="TextBox 4">
          <a:extLst>
            <a:ext uri="{FF2B5EF4-FFF2-40B4-BE49-F238E27FC236}">
              <a16:creationId xmlns:a16="http://schemas.microsoft.com/office/drawing/2014/main" id="{7FAA6AB2-AA50-324B-8D92-6264563F933C}"/>
            </a:ext>
          </a:extLst>
        </xdr:cNvPr>
        <xdr:cNvSpPr txBox="1"/>
      </xdr:nvSpPr>
      <xdr:spPr>
        <a:xfrm>
          <a:off x="7920265" y="3768271"/>
          <a:ext cx="508000" cy="23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4,419</a:t>
          </a:r>
        </a:p>
        <a:p>
          <a:endParaRPr lang="en-US" sz="1000">
            <a:solidFill>
              <a:schemeClr val="tx2">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0</xdr:col>
      <xdr:colOff>863600</xdr:colOff>
      <xdr:row>32</xdr:row>
      <xdr:rowOff>76200</xdr:rowOff>
    </xdr:from>
    <xdr:to>
      <xdr:col>5</xdr:col>
      <xdr:colOff>88900</xdr:colOff>
      <xdr:row>46</xdr:row>
      <xdr:rowOff>152400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84312666-A82E-F5C3-2841-D50E0DF5DD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63600" y="6819900"/>
              <a:ext cx="4381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654050</xdr:colOff>
      <xdr:row>32</xdr:row>
      <xdr:rowOff>76200</xdr:rowOff>
    </xdr:from>
    <xdr:to>
      <xdr:col>9</xdr:col>
      <xdr:colOff>1123950</xdr:colOff>
      <xdr:row>46</xdr:row>
      <xdr:rowOff>152400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321FCF7D-688F-4B4B-9055-9075BA171C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10250" y="6819900"/>
              <a:ext cx="4381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469900</xdr:colOff>
      <xdr:row>32</xdr:row>
      <xdr:rowOff>76200</xdr:rowOff>
    </xdr:from>
    <xdr:to>
      <xdr:col>13</xdr:col>
      <xdr:colOff>1079500</xdr:colOff>
      <xdr:row>46</xdr:row>
      <xdr:rowOff>152400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BE73E83-B5F4-B546-B802-30E111A4E9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922000" y="6819900"/>
              <a:ext cx="41148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213179</xdr:colOff>
      <xdr:row>8</xdr:row>
      <xdr:rowOff>14515</xdr:rowOff>
    </xdr:from>
    <xdr:to>
      <xdr:col>12</xdr:col>
      <xdr:colOff>36286</xdr:colOff>
      <xdr:row>9</xdr:row>
      <xdr:rowOff>52615</xdr:rowOff>
    </xdr:to>
    <xdr:sp macro="" textlink="">
      <xdr:nvSpPr>
        <xdr:cNvPr id="9" name="TextBox 8">
          <a:extLst>
            <a:ext uri="{FF2B5EF4-FFF2-40B4-BE49-F238E27FC236}">
              <a16:creationId xmlns:a16="http://schemas.microsoft.com/office/drawing/2014/main" id="{A3FF4518-47E4-1C41-A133-BA2E9159CF4E}"/>
            </a:ext>
          </a:extLst>
        </xdr:cNvPr>
        <xdr:cNvSpPr txBox="1"/>
      </xdr:nvSpPr>
      <xdr:spPr>
        <a:xfrm>
          <a:off x="11806465" y="1865086"/>
          <a:ext cx="984250" cy="23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solidFill>
                <a:schemeClr val="tx2">
                  <a:lumMod val="75000"/>
                  <a:lumOff val="25000"/>
                </a:schemeClr>
              </a:solidFill>
              <a:latin typeface="Arial" panose="020B0604020202020204" pitchFamily="34" charset="0"/>
              <a:cs typeface="Arial" panose="020B0604020202020204" pitchFamily="34" charset="0"/>
            </a:rPr>
            <a:t>▼</a:t>
          </a:r>
          <a:r>
            <a:rPr lang="en-US" sz="1000" b="0" i="0" u="none" strike="noStrike">
              <a:solidFill>
                <a:schemeClr val="tx2">
                  <a:lumMod val="75000"/>
                  <a:lumOff val="25000"/>
                </a:schemeClr>
              </a:solidFill>
              <a:effectLst/>
              <a:latin typeface="Arial" panose="020B0604020202020204" pitchFamily="34" charset="0"/>
              <a:ea typeface="+mn-ea"/>
              <a:cs typeface="Arial" panose="020B0604020202020204" pitchFamily="34" charset="0"/>
            </a:rPr>
            <a:t>-48%</a:t>
          </a:r>
          <a:r>
            <a:rPr lang="en-US" sz="1000">
              <a:solidFill>
                <a:schemeClr val="tx2">
                  <a:lumMod val="75000"/>
                  <a:lumOff val="25000"/>
                </a:schemeClr>
              </a:solidFill>
              <a:latin typeface="Arial" panose="020B0604020202020204" pitchFamily="34" charset="0"/>
              <a:cs typeface="Arial" panose="020B0604020202020204" pitchFamily="34" charset="0"/>
            </a:rPr>
            <a:t> </a:t>
          </a:r>
        </a:p>
      </xdr:txBody>
    </xdr:sp>
    <xdr:clientData/>
  </xdr:twoCellAnchor>
  <xdr:twoCellAnchor>
    <xdr:from>
      <xdr:col>9</xdr:col>
      <xdr:colOff>908130</xdr:colOff>
      <xdr:row>10</xdr:row>
      <xdr:rowOff>83457</xdr:rowOff>
    </xdr:from>
    <xdr:to>
      <xdr:col>10</xdr:col>
      <xdr:colOff>506266</xdr:colOff>
      <xdr:row>11</xdr:row>
      <xdr:rowOff>121557</xdr:rowOff>
    </xdr:to>
    <xdr:sp macro="" textlink="">
      <xdr:nvSpPr>
        <xdr:cNvPr id="10" name="TextBox 9">
          <a:extLst>
            <a:ext uri="{FF2B5EF4-FFF2-40B4-BE49-F238E27FC236}">
              <a16:creationId xmlns:a16="http://schemas.microsoft.com/office/drawing/2014/main" id="{7F556E59-E612-AF43-B846-CF7AF2F5FA48}"/>
            </a:ext>
          </a:extLst>
        </xdr:cNvPr>
        <xdr:cNvSpPr txBox="1"/>
      </xdr:nvSpPr>
      <xdr:spPr>
        <a:xfrm>
          <a:off x="10005195" y="2292153"/>
          <a:ext cx="978571"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solidFill>
                <a:schemeClr val="tx2">
                  <a:lumMod val="75000"/>
                  <a:lumOff val="25000"/>
                </a:schemeClr>
              </a:solidFill>
              <a:latin typeface="Arial" panose="020B0604020202020204" pitchFamily="34" charset="0"/>
              <a:cs typeface="Arial" panose="020B0604020202020204" pitchFamily="34" charset="0"/>
            </a:rPr>
            <a:t>▼</a:t>
          </a:r>
          <a:r>
            <a:rPr lang="en-US" sz="1000" b="0" i="0" u="none" strike="noStrike">
              <a:solidFill>
                <a:schemeClr val="tx2">
                  <a:lumMod val="75000"/>
                  <a:lumOff val="25000"/>
                </a:schemeClr>
              </a:solidFill>
              <a:effectLst/>
              <a:latin typeface="Arial" panose="020B0604020202020204" pitchFamily="34" charset="0"/>
              <a:ea typeface="+mn-ea"/>
              <a:cs typeface="Arial" panose="020B0604020202020204" pitchFamily="34" charset="0"/>
            </a:rPr>
            <a:t>-56%</a:t>
          </a:r>
          <a:r>
            <a:rPr lang="en-US" sz="1000">
              <a:solidFill>
                <a:schemeClr val="tx2">
                  <a:lumMod val="75000"/>
                  <a:lumOff val="25000"/>
                </a:schemeClr>
              </a:solidFill>
              <a:latin typeface="Arial" panose="020B0604020202020204" pitchFamily="34" charset="0"/>
              <a:cs typeface="Arial" panose="020B0604020202020204" pitchFamily="34" charset="0"/>
            </a:rPr>
            <a:t> </a:t>
          </a:r>
        </a:p>
      </xdr:txBody>
    </xdr:sp>
    <xdr:clientData/>
  </xdr:twoCellAnchor>
  <xdr:twoCellAnchor>
    <xdr:from>
      <xdr:col>8</xdr:col>
      <xdr:colOff>122544</xdr:colOff>
      <xdr:row>15</xdr:row>
      <xdr:rowOff>32657</xdr:rowOff>
    </xdr:from>
    <xdr:to>
      <xdr:col>9</xdr:col>
      <xdr:colOff>778408</xdr:colOff>
      <xdr:row>16</xdr:row>
      <xdr:rowOff>70757</xdr:rowOff>
    </xdr:to>
    <xdr:sp macro="" textlink="">
      <xdr:nvSpPr>
        <xdr:cNvPr id="11" name="TextBox 10">
          <a:extLst>
            <a:ext uri="{FF2B5EF4-FFF2-40B4-BE49-F238E27FC236}">
              <a16:creationId xmlns:a16="http://schemas.microsoft.com/office/drawing/2014/main" id="{A66330E0-E707-224B-A6DD-BF17F480889C}"/>
            </a:ext>
          </a:extLst>
        </xdr:cNvPr>
        <xdr:cNvSpPr txBox="1"/>
      </xdr:nvSpPr>
      <xdr:spPr>
        <a:xfrm>
          <a:off x="8695044" y="3207657"/>
          <a:ext cx="1180429"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solidFill>
                <a:schemeClr val="tx2">
                  <a:lumMod val="75000"/>
                  <a:lumOff val="25000"/>
                </a:schemeClr>
              </a:solidFill>
              <a:latin typeface="Arial" panose="020B0604020202020204" pitchFamily="34" charset="0"/>
              <a:cs typeface="Arial" panose="020B0604020202020204" pitchFamily="34" charset="0"/>
            </a:rPr>
            <a:t>▼</a:t>
          </a:r>
          <a:r>
            <a:rPr lang="en-US" sz="1000" b="0" i="0" u="none" strike="noStrike">
              <a:solidFill>
                <a:schemeClr val="tx2">
                  <a:lumMod val="75000"/>
                  <a:lumOff val="25000"/>
                </a:schemeClr>
              </a:solidFill>
              <a:effectLst/>
              <a:latin typeface="Arial" panose="020B0604020202020204" pitchFamily="34" charset="0"/>
              <a:ea typeface="+mn-ea"/>
              <a:cs typeface="Arial" panose="020B0604020202020204" pitchFamily="34" charset="0"/>
            </a:rPr>
            <a:t>-54%</a:t>
          </a:r>
          <a:r>
            <a:rPr lang="en-US" sz="1000">
              <a:solidFill>
                <a:schemeClr val="tx2">
                  <a:lumMod val="75000"/>
                  <a:lumOff val="25000"/>
                </a:schemeClr>
              </a:solidFill>
              <a:latin typeface="Arial" panose="020B0604020202020204" pitchFamily="34" charset="0"/>
              <a:cs typeface="Arial" panose="020B0604020202020204" pitchFamily="34" charset="0"/>
            </a:rPr>
            <a:t> </a:t>
          </a:r>
        </a:p>
      </xdr:txBody>
    </xdr:sp>
    <xdr:clientData/>
  </xdr:twoCellAnchor>
  <xdr:twoCellAnchor>
    <xdr:from>
      <xdr:col>8</xdr:col>
      <xdr:colOff>249544</xdr:colOff>
      <xdr:row>12</xdr:row>
      <xdr:rowOff>146957</xdr:rowOff>
    </xdr:from>
    <xdr:to>
      <xdr:col>9</xdr:col>
      <xdr:colOff>359308</xdr:colOff>
      <xdr:row>14</xdr:row>
      <xdr:rowOff>867</xdr:rowOff>
    </xdr:to>
    <xdr:sp macro="" textlink="">
      <xdr:nvSpPr>
        <xdr:cNvPr id="12" name="TextBox 11">
          <a:extLst>
            <a:ext uri="{FF2B5EF4-FFF2-40B4-BE49-F238E27FC236}">
              <a16:creationId xmlns:a16="http://schemas.microsoft.com/office/drawing/2014/main" id="{68AD9BA0-D110-084D-8FC9-6AF920A694C6}"/>
            </a:ext>
          </a:extLst>
        </xdr:cNvPr>
        <xdr:cNvSpPr txBox="1"/>
      </xdr:nvSpPr>
      <xdr:spPr>
        <a:xfrm>
          <a:off x="8822044" y="2742174"/>
          <a:ext cx="634329" cy="240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solidFill>
                <a:schemeClr val="tx2">
                  <a:lumMod val="75000"/>
                  <a:lumOff val="25000"/>
                </a:schemeClr>
              </a:solidFill>
              <a:latin typeface="Arial" panose="020B0604020202020204" pitchFamily="34" charset="0"/>
              <a:cs typeface="Arial" panose="020B0604020202020204" pitchFamily="34" charset="0"/>
            </a:rPr>
            <a:t>▼</a:t>
          </a:r>
          <a:r>
            <a:rPr lang="en-US" sz="1000" b="0" i="0" u="none" strike="noStrike">
              <a:solidFill>
                <a:schemeClr val="tx2">
                  <a:lumMod val="75000"/>
                  <a:lumOff val="25000"/>
                </a:schemeClr>
              </a:solidFill>
              <a:effectLst/>
              <a:latin typeface="Arial" panose="020B0604020202020204" pitchFamily="34" charset="0"/>
              <a:ea typeface="+mn-ea"/>
              <a:cs typeface="Arial" panose="020B0604020202020204" pitchFamily="34" charset="0"/>
            </a:rPr>
            <a:t>-80%</a:t>
          </a:r>
          <a:r>
            <a:rPr lang="en-US" sz="1000">
              <a:solidFill>
                <a:schemeClr val="tx2">
                  <a:lumMod val="75000"/>
                  <a:lumOff val="25000"/>
                </a:schemeClr>
              </a:solidFill>
              <a:latin typeface="Arial" panose="020B0604020202020204" pitchFamily="34" charset="0"/>
              <a:cs typeface="Arial" panose="020B0604020202020204" pitchFamily="34" charset="0"/>
            </a:rPr>
            <a:t> </a:t>
          </a:r>
        </a:p>
      </xdr:txBody>
    </xdr:sp>
    <xdr:clientData/>
  </xdr:twoCellAnchor>
  <xdr:twoCellAnchor>
    <xdr:from>
      <xdr:col>8</xdr:col>
      <xdr:colOff>109844</xdr:colOff>
      <xdr:row>17</xdr:row>
      <xdr:rowOff>83457</xdr:rowOff>
    </xdr:from>
    <xdr:to>
      <xdr:col>9</xdr:col>
      <xdr:colOff>778408</xdr:colOff>
      <xdr:row>18</xdr:row>
      <xdr:rowOff>121557</xdr:rowOff>
    </xdr:to>
    <xdr:sp macro="" textlink="">
      <xdr:nvSpPr>
        <xdr:cNvPr id="13" name="TextBox 12">
          <a:extLst>
            <a:ext uri="{FF2B5EF4-FFF2-40B4-BE49-F238E27FC236}">
              <a16:creationId xmlns:a16="http://schemas.microsoft.com/office/drawing/2014/main" id="{B853909B-126F-FB49-A7ED-F8FBFC7BA4CB}"/>
            </a:ext>
          </a:extLst>
        </xdr:cNvPr>
        <xdr:cNvSpPr txBox="1"/>
      </xdr:nvSpPr>
      <xdr:spPr>
        <a:xfrm>
          <a:off x="8682344" y="3644979"/>
          <a:ext cx="1193129"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solidFill>
                <a:schemeClr val="tx2">
                  <a:lumMod val="75000"/>
                  <a:lumOff val="25000"/>
                </a:schemeClr>
              </a:solidFill>
              <a:latin typeface="Arial" panose="020B0604020202020204" pitchFamily="34" charset="0"/>
              <a:cs typeface="Arial" panose="020B0604020202020204" pitchFamily="34" charset="0"/>
            </a:rPr>
            <a:t>▼</a:t>
          </a:r>
          <a:r>
            <a:rPr lang="en-US" sz="1000" b="0" i="0" u="none" strike="noStrike">
              <a:solidFill>
                <a:schemeClr val="tx2">
                  <a:lumMod val="75000"/>
                  <a:lumOff val="25000"/>
                </a:schemeClr>
              </a:solidFill>
              <a:effectLst/>
              <a:latin typeface="Arial" panose="020B0604020202020204" pitchFamily="34" charset="0"/>
              <a:ea typeface="+mn-ea"/>
              <a:cs typeface="Arial" panose="020B0604020202020204" pitchFamily="34" charset="0"/>
            </a:rPr>
            <a:t>-23%</a:t>
          </a:r>
          <a:r>
            <a:rPr lang="en-US" sz="1000">
              <a:solidFill>
                <a:schemeClr val="tx2">
                  <a:lumMod val="75000"/>
                  <a:lumOff val="25000"/>
                </a:schemeClr>
              </a:solidFill>
              <a:latin typeface="Arial" panose="020B0604020202020204" pitchFamily="34" charset="0"/>
              <a:cs typeface="Arial" panose="020B0604020202020204" pitchFamily="34" charset="0"/>
            </a:rPr>
            <a:t> </a:t>
          </a:r>
        </a:p>
      </xdr:txBody>
    </xdr:sp>
    <xdr:clientData/>
  </xdr:twoCellAnchor>
  <xdr:twoCellAnchor>
    <xdr:from>
      <xdr:col>12</xdr:col>
      <xdr:colOff>54428</xdr:colOff>
      <xdr:row>7</xdr:row>
      <xdr:rowOff>139699</xdr:rowOff>
    </xdr:from>
    <xdr:to>
      <xdr:col>13</xdr:col>
      <xdr:colOff>836386</xdr:colOff>
      <xdr:row>8</xdr:row>
      <xdr:rowOff>126999</xdr:rowOff>
    </xdr:to>
    <xdr:sp macro="" textlink="">
      <xdr:nvSpPr>
        <xdr:cNvPr id="23" name="Bent Arrow 22">
          <a:extLst>
            <a:ext uri="{FF2B5EF4-FFF2-40B4-BE49-F238E27FC236}">
              <a16:creationId xmlns:a16="http://schemas.microsoft.com/office/drawing/2014/main" id="{5D84C1A3-1F2A-EF86-E4C9-35D20F51881A}"/>
            </a:ext>
          </a:extLst>
        </xdr:cNvPr>
        <xdr:cNvSpPr/>
      </xdr:nvSpPr>
      <xdr:spPr>
        <a:xfrm rot="10800000">
          <a:off x="12808857" y="1790699"/>
          <a:ext cx="1943100" cy="186871"/>
        </a:xfrm>
        <a:prstGeom prst="bentArrow">
          <a:avLst/>
        </a:prstGeom>
        <a:solidFill>
          <a:schemeClr val="bg1">
            <a:lumMod val="8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182415</xdr:colOff>
      <xdr:row>10</xdr:row>
      <xdr:rowOff>54429</xdr:rowOff>
    </xdr:from>
    <xdr:to>
      <xdr:col>11</xdr:col>
      <xdr:colOff>159735</xdr:colOff>
      <xdr:row>11</xdr:row>
      <xdr:rowOff>32657</xdr:rowOff>
    </xdr:to>
    <xdr:sp macro="" textlink="">
      <xdr:nvSpPr>
        <xdr:cNvPr id="24" name="Bent Arrow 23">
          <a:extLst>
            <a:ext uri="{FF2B5EF4-FFF2-40B4-BE49-F238E27FC236}">
              <a16:creationId xmlns:a16="http://schemas.microsoft.com/office/drawing/2014/main" id="{A9AA4E27-E818-844E-A6A7-2D75C75B82F3}"/>
            </a:ext>
          </a:extLst>
        </xdr:cNvPr>
        <xdr:cNvSpPr/>
      </xdr:nvSpPr>
      <xdr:spPr>
        <a:xfrm rot="10800000">
          <a:off x="10659915" y="2263125"/>
          <a:ext cx="1150690" cy="171489"/>
        </a:xfrm>
        <a:prstGeom prst="bentArrow">
          <a:avLst/>
        </a:prstGeom>
        <a:solidFill>
          <a:schemeClr val="bg1">
            <a:lumMod val="8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308507</xdr:colOff>
      <xdr:row>12</xdr:row>
      <xdr:rowOff>126999</xdr:rowOff>
    </xdr:from>
    <xdr:to>
      <xdr:col>9</xdr:col>
      <xdr:colOff>903592</xdr:colOff>
      <xdr:row>13</xdr:row>
      <xdr:rowOff>70756</xdr:rowOff>
    </xdr:to>
    <xdr:sp macro="" textlink="">
      <xdr:nvSpPr>
        <xdr:cNvPr id="25" name="Bent Arrow 24">
          <a:extLst>
            <a:ext uri="{FF2B5EF4-FFF2-40B4-BE49-F238E27FC236}">
              <a16:creationId xmlns:a16="http://schemas.microsoft.com/office/drawing/2014/main" id="{0D65FDC1-1D1F-F749-9212-8E15F25ABE2B}"/>
            </a:ext>
          </a:extLst>
        </xdr:cNvPr>
        <xdr:cNvSpPr/>
      </xdr:nvSpPr>
      <xdr:spPr>
        <a:xfrm rot="10800000">
          <a:off x="9405572" y="2722216"/>
          <a:ext cx="595085" cy="137018"/>
        </a:xfrm>
        <a:prstGeom prst="bentArrow">
          <a:avLst/>
        </a:prstGeom>
        <a:solidFill>
          <a:schemeClr val="bg1">
            <a:lumMod val="8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2</xdr:col>
      <xdr:colOff>1219440</xdr:colOff>
      <xdr:row>47</xdr:row>
      <xdr:rowOff>0</xdr:rowOff>
    </xdr:from>
    <xdr:to>
      <xdr:col>2</xdr:col>
      <xdr:colOff>1219800</xdr:colOff>
      <xdr:row>47</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6" name="Ink 25">
              <a:extLst>
                <a:ext uri="{FF2B5EF4-FFF2-40B4-BE49-F238E27FC236}">
                  <a16:creationId xmlns:a16="http://schemas.microsoft.com/office/drawing/2014/main" id="{72456DEC-D875-8F29-9944-8B0C2C6BD129}"/>
                </a:ext>
              </a:extLst>
            </xdr14:cNvPr>
            <xdr14:cNvContentPartPr/>
          </xdr14:nvContentPartPr>
          <xdr14:nvPr macro=""/>
          <xdr14:xfrm>
            <a:off x="2438640" y="9462960"/>
            <a:ext cx="360" cy="360"/>
          </xdr14:xfrm>
        </xdr:contentPart>
      </mc:Choice>
      <mc:Fallback xmlns="">
        <xdr:pic>
          <xdr:nvPicPr>
            <xdr:cNvPr id="26" name="Ink 25">
              <a:extLst>
                <a:ext uri="{FF2B5EF4-FFF2-40B4-BE49-F238E27FC236}">
                  <a16:creationId xmlns:a16="http://schemas.microsoft.com/office/drawing/2014/main" id="{72456DEC-D875-8F29-9944-8B0C2C6BD129}"/>
                </a:ext>
              </a:extLst>
            </xdr:cNvPr>
            <xdr:cNvPicPr/>
          </xdr:nvPicPr>
          <xdr:blipFill>
            <a:blip xmlns:r="http://schemas.openxmlformats.org/officeDocument/2006/relationships" r:embed="rId6"/>
            <a:stretch>
              <a:fillRect/>
            </a:stretch>
          </xdr:blipFill>
          <xdr:spPr>
            <a:xfrm>
              <a:off x="2430000" y="9454320"/>
              <a:ext cx="18000" cy="18000"/>
            </a:xfrm>
            <a:prstGeom prst="rect">
              <a:avLst/>
            </a:prstGeom>
          </xdr:spPr>
        </xdr:pic>
      </mc:Fallback>
    </mc:AlternateContent>
    <xdr:clientData/>
  </xdr:twoCellAnchor>
  <xdr:twoCellAnchor>
    <xdr:from>
      <xdr:col>3</xdr:col>
      <xdr:colOff>849796</xdr:colOff>
      <xdr:row>40</xdr:row>
      <xdr:rowOff>8835</xdr:rowOff>
    </xdr:from>
    <xdr:to>
      <xdr:col>4</xdr:col>
      <xdr:colOff>184426</xdr:colOff>
      <xdr:row>41</xdr:row>
      <xdr:rowOff>46935</xdr:rowOff>
    </xdr:to>
    <xdr:sp macro="" textlink="">
      <xdr:nvSpPr>
        <xdr:cNvPr id="31" name="TextBox 30">
          <a:extLst>
            <a:ext uri="{FF2B5EF4-FFF2-40B4-BE49-F238E27FC236}">
              <a16:creationId xmlns:a16="http://schemas.microsoft.com/office/drawing/2014/main" id="{75620219-A0EA-8A48-8F1D-7F405ED6E7F5}"/>
            </a:ext>
          </a:extLst>
        </xdr:cNvPr>
        <xdr:cNvSpPr txBox="1"/>
      </xdr:nvSpPr>
      <xdr:spPr>
        <a:xfrm>
          <a:off x="3679687" y="8374270"/>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5,603</a:t>
          </a:r>
        </a:p>
      </xdr:txBody>
    </xdr:sp>
    <xdr:clientData/>
  </xdr:twoCellAnchor>
  <xdr:twoCellAnchor>
    <xdr:from>
      <xdr:col>3</xdr:col>
      <xdr:colOff>822187</xdr:colOff>
      <xdr:row>42</xdr:row>
      <xdr:rowOff>36443</xdr:rowOff>
    </xdr:from>
    <xdr:to>
      <xdr:col>4</xdr:col>
      <xdr:colOff>156817</xdr:colOff>
      <xdr:row>43</xdr:row>
      <xdr:rowOff>74544</xdr:rowOff>
    </xdr:to>
    <xdr:sp macro="" textlink="">
      <xdr:nvSpPr>
        <xdr:cNvPr id="32" name="TextBox 31">
          <a:extLst>
            <a:ext uri="{FF2B5EF4-FFF2-40B4-BE49-F238E27FC236}">
              <a16:creationId xmlns:a16="http://schemas.microsoft.com/office/drawing/2014/main" id="{106BC3DD-EAEB-1D41-AAEB-E2A9FD50AFB5}"/>
            </a:ext>
          </a:extLst>
        </xdr:cNvPr>
        <xdr:cNvSpPr txBox="1"/>
      </xdr:nvSpPr>
      <xdr:spPr>
        <a:xfrm>
          <a:off x="3652078" y="8788400"/>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2,516</a:t>
          </a:r>
        </a:p>
      </xdr:txBody>
    </xdr:sp>
    <xdr:clientData/>
  </xdr:twoCellAnchor>
  <xdr:twoCellAnchor>
    <xdr:from>
      <xdr:col>3</xdr:col>
      <xdr:colOff>808383</xdr:colOff>
      <xdr:row>44</xdr:row>
      <xdr:rowOff>36444</xdr:rowOff>
    </xdr:from>
    <xdr:to>
      <xdr:col>4</xdr:col>
      <xdr:colOff>143013</xdr:colOff>
      <xdr:row>45</xdr:row>
      <xdr:rowOff>74544</xdr:rowOff>
    </xdr:to>
    <xdr:sp macro="" textlink="">
      <xdr:nvSpPr>
        <xdr:cNvPr id="33" name="TextBox 32">
          <a:extLst>
            <a:ext uri="{FF2B5EF4-FFF2-40B4-BE49-F238E27FC236}">
              <a16:creationId xmlns:a16="http://schemas.microsoft.com/office/drawing/2014/main" id="{8AFA5D39-5C21-6147-B475-99EC596B7BBC}"/>
            </a:ext>
          </a:extLst>
        </xdr:cNvPr>
        <xdr:cNvSpPr txBox="1"/>
      </xdr:nvSpPr>
      <xdr:spPr>
        <a:xfrm>
          <a:off x="3638274" y="9174922"/>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1,942</a:t>
          </a:r>
        </a:p>
      </xdr:txBody>
    </xdr:sp>
    <xdr:clientData/>
  </xdr:twoCellAnchor>
  <xdr:twoCellAnchor>
    <xdr:from>
      <xdr:col>8</xdr:col>
      <xdr:colOff>63224</xdr:colOff>
      <xdr:row>39</xdr:row>
      <xdr:rowOff>188291</xdr:rowOff>
    </xdr:from>
    <xdr:to>
      <xdr:col>9</xdr:col>
      <xdr:colOff>46659</xdr:colOff>
      <xdr:row>41</xdr:row>
      <xdr:rowOff>33130</xdr:rowOff>
    </xdr:to>
    <xdr:sp macro="" textlink="">
      <xdr:nvSpPr>
        <xdr:cNvPr id="34" name="TextBox 33">
          <a:extLst>
            <a:ext uri="{FF2B5EF4-FFF2-40B4-BE49-F238E27FC236}">
              <a16:creationId xmlns:a16="http://schemas.microsoft.com/office/drawing/2014/main" id="{80402C80-7A00-944E-A5BA-F40547F7DEB2}"/>
            </a:ext>
          </a:extLst>
        </xdr:cNvPr>
        <xdr:cNvSpPr txBox="1"/>
      </xdr:nvSpPr>
      <xdr:spPr>
        <a:xfrm>
          <a:off x="8635724" y="8360465"/>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1,162</a:t>
          </a:r>
        </a:p>
      </xdr:txBody>
    </xdr:sp>
    <xdr:clientData/>
  </xdr:twoCellAnchor>
  <xdr:twoCellAnchor>
    <xdr:from>
      <xdr:col>8</xdr:col>
      <xdr:colOff>8006</xdr:colOff>
      <xdr:row>42</xdr:row>
      <xdr:rowOff>36443</xdr:rowOff>
    </xdr:from>
    <xdr:to>
      <xdr:col>8</xdr:col>
      <xdr:colOff>516006</xdr:colOff>
      <xdr:row>43</xdr:row>
      <xdr:rowOff>74544</xdr:rowOff>
    </xdr:to>
    <xdr:sp macro="" textlink="">
      <xdr:nvSpPr>
        <xdr:cNvPr id="35" name="TextBox 34">
          <a:extLst>
            <a:ext uri="{FF2B5EF4-FFF2-40B4-BE49-F238E27FC236}">
              <a16:creationId xmlns:a16="http://schemas.microsoft.com/office/drawing/2014/main" id="{ED925735-0D4A-F240-94E2-6EBE0E3403D8}"/>
            </a:ext>
          </a:extLst>
        </xdr:cNvPr>
        <xdr:cNvSpPr txBox="1"/>
      </xdr:nvSpPr>
      <xdr:spPr>
        <a:xfrm>
          <a:off x="8580506" y="8788400"/>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524</a:t>
          </a:r>
        </a:p>
      </xdr:txBody>
    </xdr:sp>
    <xdr:clientData/>
  </xdr:twoCellAnchor>
  <xdr:twoCellAnchor>
    <xdr:from>
      <xdr:col>7</xdr:col>
      <xdr:colOff>1043884</xdr:colOff>
      <xdr:row>44</xdr:row>
      <xdr:rowOff>78409</xdr:rowOff>
    </xdr:from>
    <xdr:to>
      <xdr:col>8</xdr:col>
      <xdr:colOff>502754</xdr:colOff>
      <xdr:row>45</xdr:row>
      <xdr:rowOff>116509</xdr:rowOff>
    </xdr:to>
    <xdr:sp macro="" textlink="">
      <xdr:nvSpPr>
        <xdr:cNvPr id="36" name="TextBox 35">
          <a:extLst>
            <a:ext uri="{FF2B5EF4-FFF2-40B4-BE49-F238E27FC236}">
              <a16:creationId xmlns:a16="http://schemas.microsoft.com/office/drawing/2014/main" id="{93457B9C-F49E-DD40-8D0B-AA198C5912B5}"/>
            </a:ext>
          </a:extLst>
        </xdr:cNvPr>
        <xdr:cNvSpPr txBox="1"/>
      </xdr:nvSpPr>
      <xdr:spPr>
        <a:xfrm>
          <a:off x="8567254" y="9216887"/>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406</a:t>
          </a:r>
        </a:p>
      </xdr:txBody>
    </xdr:sp>
    <xdr:clientData/>
  </xdr:twoCellAnchor>
  <xdr:twoCellAnchor>
    <xdr:from>
      <xdr:col>12</xdr:col>
      <xdr:colOff>759239</xdr:colOff>
      <xdr:row>40</xdr:row>
      <xdr:rowOff>13804</xdr:rowOff>
    </xdr:from>
    <xdr:to>
      <xdr:col>13</xdr:col>
      <xdr:colOff>93869</xdr:colOff>
      <xdr:row>41</xdr:row>
      <xdr:rowOff>51904</xdr:rowOff>
    </xdr:to>
    <xdr:sp macro="" textlink="">
      <xdr:nvSpPr>
        <xdr:cNvPr id="37" name="TextBox 36">
          <a:extLst>
            <a:ext uri="{FF2B5EF4-FFF2-40B4-BE49-F238E27FC236}">
              <a16:creationId xmlns:a16="http://schemas.microsoft.com/office/drawing/2014/main" id="{786457F0-072E-0F4C-944B-9108E97C06E4}"/>
            </a:ext>
          </a:extLst>
        </xdr:cNvPr>
        <xdr:cNvSpPr txBox="1"/>
      </xdr:nvSpPr>
      <xdr:spPr>
        <a:xfrm>
          <a:off x="13583478" y="8379239"/>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993</a:t>
          </a:r>
        </a:p>
      </xdr:txBody>
    </xdr:sp>
    <xdr:clientData/>
  </xdr:twoCellAnchor>
  <xdr:twoCellAnchor>
    <xdr:from>
      <xdr:col>12</xdr:col>
      <xdr:colOff>698500</xdr:colOff>
      <xdr:row>42</xdr:row>
      <xdr:rowOff>50248</xdr:rowOff>
    </xdr:from>
    <xdr:to>
      <xdr:col>13</xdr:col>
      <xdr:colOff>33130</xdr:colOff>
      <xdr:row>43</xdr:row>
      <xdr:rowOff>88349</xdr:rowOff>
    </xdr:to>
    <xdr:sp macro="" textlink="">
      <xdr:nvSpPr>
        <xdr:cNvPr id="38" name="TextBox 37">
          <a:extLst>
            <a:ext uri="{FF2B5EF4-FFF2-40B4-BE49-F238E27FC236}">
              <a16:creationId xmlns:a16="http://schemas.microsoft.com/office/drawing/2014/main" id="{B3529A74-792A-6848-9FCD-1993193A54A3}"/>
            </a:ext>
          </a:extLst>
        </xdr:cNvPr>
        <xdr:cNvSpPr txBox="1"/>
      </xdr:nvSpPr>
      <xdr:spPr>
        <a:xfrm>
          <a:off x="13522739" y="8802205"/>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465</a:t>
          </a:r>
        </a:p>
      </xdr:txBody>
    </xdr:sp>
    <xdr:clientData/>
  </xdr:twoCellAnchor>
  <xdr:twoCellAnchor>
    <xdr:from>
      <xdr:col>12</xdr:col>
      <xdr:colOff>698500</xdr:colOff>
      <xdr:row>44</xdr:row>
      <xdr:rowOff>119269</xdr:rowOff>
    </xdr:from>
    <xdr:to>
      <xdr:col>13</xdr:col>
      <xdr:colOff>33130</xdr:colOff>
      <xdr:row>45</xdr:row>
      <xdr:rowOff>157369</xdr:rowOff>
    </xdr:to>
    <xdr:sp macro="" textlink="">
      <xdr:nvSpPr>
        <xdr:cNvPr id="39" name="TextBox 38">
          <a:extLst>
            <a:ext uri="{FF2B5EF4-FFF2-40B4-BE49-F238E27FC236}">
              <a16:creationId xmlns:a16="http://schemas.microsoft.com/office/drawing/2014/main" id="{6D69B6DC-9CBE-394C-8222-4A0C8D28728B}"/>
            </a:ext>
          </a:extLst>
        </xdr:cNvPr>
        <xdr:cNvSpPr txBox="1"/>
      </xdr:nvSpPr>
      <xdr:spPr>
        <a:xfrm>
          <a:off x="13522739" y="9257747"/>
          <a:ext cx="508000" cy="231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2">
                  <a:lumMod val="75000"/>
                  <a:lumOff val="25000"/>
                </a:schemeClr>
              </a:solidFill>
              <a:latin typeface="Arial" panose="020B0604020202020204" pitchFamily="34" charset="0"/>
              <a:cs typeface="Arial" panose="020B0604020202020204" pitchFamily="34" charset="0"/>
            </a:rPr>
            <a:t>355</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21T21:14:25.842"/>
    </inkml:context>
    <inkml:brush xml:id="br0">
      <inkml:brushProperty name="width" value="0.05" units="cm"/>
      <inkml:brushProperty name="height" value="0.05" units="cm"/>
    </inkml:brush>
  </inkml:definitions>
  <inkml:trace contextRef="#ctx0" brushRef="#br0">1 1 24575,'0'0'0</inkml:trace>
</inkm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2">
  <a r="2">
    <v t="r">19</v>
    <v t="r">20</v>
  </a>
  <a r="2">
    <v t="s">Canadian French</v>
    <v t="s">Canadian English</v>
  </a>
  <a r="13">
    <v t="r">39</v>
    <v t="r">40</v>
    <v t="r">41</v>
    <v t="r">42</v>
    <v t="r">43</v>
    <v t="r">44</v>
    <v t="r">45</v>
    <v t="r">46</v>
    <v t="r">47</v>
    <v t="r">48</v>
    <v t="r">49</v>
    <v t="r">50</v>
    <v t="r">51</v>
  </a>
  <a r="6">
    <v t="s">Newfoundland Time Zone</v>
    <v t="s">Atlantic Time Zone</v>
    <v t="s">Central Time Zone</v>
    <v t="s">Mountain Time Zone</v>
    <v t="s">Pacific Time Zone</v>
    <v t="s">Eastern Time Zone</v>
  </a>
  <a r="4">
    <v t="r">78</v>
    <v t="r">79</v>
    <v t="r">80</v>
    <v t="r">81</v>
  </a>
  <a r="2">
    <v t="s">Indian English</v>
    <v t="s">Hindi</v>
  </a>
  <a r="34">
    <v t="r">100</v>
    <v t="r">101</v>
    <v t="r">102</v>
    <v t="r">103</v>
    <v t="r">104</v>
    <v t="r">105</v>
    <v t="r">106</v>
    <v t="r">107</v>
    <v t="r">108</v>
    <v t="r">109</v>
    <v t="r">110</v>
    <v t="r">111</v>
    <v t="r">112</v>
    <v t="r">113</v>
    <v t="r">114</v>
    <v t="r">115</v>
    <v t="r">116</v>
    <v t="r">117</v>
    <v t="r">118</v>
    <v t="r">119</v>
    <v t="r">120</v>
    <v t="r">121</v>
    <v t="r">122</v>
    <v t="r">123</v>
    <v t="r">124</v>
    <v t="r">125</v>
    <v t="r">126</v>
    <v t="r">127</v>
    <v t="r">128</v>
    <v t="r">129</v>
    <v t="r">130</v>
    <v t="r">131</v>
    <v t="r">132</v>
    <v t="r">133</v>
  </a>
  <a r="1">
    <v t="s">Indian Standard Time</v>
  </a>
  <a r="4">
    <v t="r">159</v>
    <v t="r">160</v>
    <v t="r">161</v>
    <v t="r">162</v>
  </a>
  <a r="1">
    <v t="s">English language</v>
  </a>
  <a r="55">
    <v t="r">181</v>
    <v t="r">182</v>
    <v t="r">183</v>
    <v t="r">184</v>
    <v t="r">185</v>
    <v t="r">186</v>
    <v t="r">187</v>
    <v t="r">188</v>
    <v t="r">189</v>
    <v t="r">190</v>
    <v t="r">191</v>
    <v t="r">192</v>
    <v t="r">193</v>
    <v t="r">194</v>
    <v t="r">195</v>
    <v t="r">196</v>
    <v t="r">197</v>
    <v t="r">198</v>
    <v t="r">199</v>
    <v t="r">200</v>
    <v t="r">201</v>
    <v t="r">202</v>
    <v t="r">203</v>
    <v t="r">204</v>
    <v t="r">205</v>
    <v t="r">206</v>
    <v t="r">207</v>
    <v t="r">208</v>
    <v t="r">209</v>
    <v t="r">210</v>
    <v t="r">211</v>
    <v t="r">212</v>
    <v t="r">213</v>
    <v t="r">214</v>
    <v t="r">215</v>
    <v t="r">216</v>
    <v t="r">217</v>
    <v t="r">218</v>
    <v t="r">219</v>
    <v t="r">220</v>
    <v t="r">221</v>
    <v t="r">222</v>
    <v t="r">223</v>
    <v t="r">224</v>
    <v t="r">225</v>
    <v t="r">226</v>
    <v t="r">227</v>
    <v t="r">228</v>
    <v t="r">229</v>
    <v t="r">230</v>
    <v t="r">231</v>
    <v t="r">232</v>
    <v t="r">233</v>
    <v t="r">234</v>
    <v t="r">235</v>
  </a>
  <a r="6">
    <v t="s">Samoa Time Zone</v>
    <v t="s">Atlantic Time Zone</v>
    <v t="s">Central Time Zone</v>
    <v t="s">Alaska Time Zone</v>
    <v t="s">Mountain Time Zone</v>
    <v t="s">Chamorro Time Zone</v>
  </a>
</arrayData>
</file>

<file path=xl/richData/rdrichvalue.xml><?xml version="1.0" encoding="utf-8"?>
<rvData xmlns="http://schemas.microsoft.com/office/spreadsheetml/2017/richdata" count="243">
  <rv s="0">
    <fb>6.8918382450780802E-2</fb>
    <v>23</v>
  </rv>
  <rv s="0">
    <fb>9984670</fb>
    <v>24</v>
  </rv>
  <rv s="0">
    <fb>72000</fb>
    <v>24</v>
  </rv>
  <rv s="0">
    <fb>10.1</fb>
    <v>25</v>
  </rv>
  <rv s="0">
    <fb>1</fb>
    <v>26</v>
  </rv>
  <rv s="1">
    <v>536870912</v>
    <v>Ottawa</v>
    <v>3f2544d2-4937-9101-2f53-621199e253e5</v>
    <v>en-US</v>
    <v>Map</v>
  </rv>
  <rv s="0">
    <fb>544894.19799999997</fb>
    <v>24</v>
  </rv>
  <rv s="0">
    <fb>116.75729822552999</fb>
    <v>27</v>
  </rv>
  <rv s="0">
    <fb>1.9492690241159599E-2</fb>
    <v>23</v>
  </rv>
  <rv s="0">
    <fb>15588.4871464315</fb>
    <v>24</v>
  </rv>
  <rv s="0">
    <fb>1.4987999999999999</fb>
    <v>25</v>
  </rv>
  <rv s="0">
    <fb>0.38161546668997998</fb>
    <v>23</v>
  </rv>
  <rv s="0">
    <fb>74.089062024805997</fb>
    <v>28</v>
  </rv>
  <rv s="0">
    <fb>0.81</fb>
    <v>29</v>
  </rv>
  <rv s="0">
    <fb>1736425629519.96</fb>
    <v>30</v>
  </rv>
  <rv s="0">
    <fb>1.0094368</fb>
    <v>23</v>
  </rv>
  <rv s="0">
    <fb>0.68922510000000003</fb>
    <v>23</v>
  </rv>
  <rv s="0">
    <fb>4.3</fb>
    <v>28</v>
  </rv>
  <rv s="1">
    <v>536870912</v>
    <v>Toronto</v>
    <v>e9c1d78f-effd-4cbf-af56-ce709763b200</v>
    <v>en-US</v>
    <v>Map</v>
  </rv>
  <rv s="1">
    <v>805306368</v>
    <v>Charles III (Monarch)</v>
    <v>afc6f6a9-5b55-9178-3e6f-2c8b6d16ee9c</v>
    <v>en-US</v>
    <v>Generic</v>
  </rv>
  <rv s="1">
    <v>805306368</v>
    <v>Justin Trudeau (Prime minister)</v>
    <v>d37aba31-28d1-b943-f0c6-dbddeb460528</v>
    <v>en-US</v>
    <v>Generic</v>
  </rv>
  <rv s="2">
    <v>0</v>
  </rv>
  <rv s="3">
    <v>https://www.bing.com/search?q=canada+country&amp;form=skydnc</v>
    <v>Learn more on Bing</v>
  </rv>
  <rv s="0">
    <fb>81.948780487804896</fb>
    <v>28</v>
  </rv>
  <rv s="0">
    <fb>1937902710000</fb>
    <v>30</v>
  </rv>
  <rv s="0">
    <fb>10</fb>
    <v>28</v>
  </rv>
  <rv s="0">
    <fb>9.51</fb>
    <v>29</v>
  </rv>
  <rv s="2">
    <v>1</v>
  </rv>
  <rv s="0">
    <fb>0.1458492763</fb>
    <v>23</v>
  </rv>
  <rv s="0">
    <fb>2.6101999999999999</fb>
    <v>25</v>
  </rv>
  <rv s="0">
    <fb>38246108</fb>
    <v>24</v>
  </rv>
  <rv s="0">
    <fb>0.23300000000000001</fb>
    <v>23</v>
  </rv>
  <rv s="0">
    <fb>0.251</fb>
    <v>23</v>
  </rv>
  <rv s="0">
    <fb>0.40600000000000003</fb>
    <v>23</v>
  </rv>
  <rv s="0">
    <fb>2.4E-2</fb>
    <v>23</v>
  </rv>
  <rv s="0">
    <fb>6.7000000000000004E-2</fb>
    <v>23</v>
  </rv>
  <rv s="0">
    <fb>0.124</fb>
    <v>23</v>
  </rv>
  <rv s="0">
    <fb>0.17</fb>
    <v>23</v>
  </rv>
  <rv s="0">
    <fb>0.65070999145507802</fb>
    <v>23</v>
  </rv>
  <rv s="1">
    <v>536870912</v>
    <v>Ontario</v>
    <v>070ad921-224a-9ed5-6fe1-8eab57b4b2e7</v>
    <v>en-US</v>
    <v>Map</v>
  </rv>
  <rv s="1">
    <v>536870912</v>
    <v>Quebec</v>
    <v>32da1fe8-6bb5-f40e-e008-82becf7ef390</v>
    <v>en-US</v>
    <v>Map</v>
  </rv>
  <rv s="1">
    <v>536870912</v>
    <v>Nova Scotia</v>
    <v>baa4aedd-bbb6-989e-cba4-ec2c9bdd906a</v>
    <v>en-US</v>
    <v>Map</v>
  </rv>
  <rv s="1">
    <v>536870912</v>
    <v>New Brunswick</v>
    <v>ed967bed-da27-9206-2407-d4e698015192</v>
    <v>en-US</v>
    <v>Map</v>
  </rv>
  <rv s="1">
    <v>536870912</v>
    <v>Manitoba</v>
    <v>21c9c883-dcc4-1490-a815-79c6eb525369</v>
    <v>en-US</v>
    <v>Map</v>
  </rv>
  <rv s="1">
    <v>536870912</v>
    <v>Newfoundland and Labrador</v>
    <v>895215e2-2c65-6494-fa6a-1f441a39ac4f</v>
    <v>en-US</v>
    <v>Map</v>
  </rv>
  <rv s="1">
    <v>536870912</v>
    <v>Prince Edward Island</v>
    <v>4e4aadcb-4928-0762-e307-bc01ba8f3dfb</v>
    <v>en-US</v>
    <v>Map</v>
  </rv>
  <rv s="1">
    <v>536870912</v>
    <v>Saskatchewan</v>
    <v>ec7108bb-bd34-c969-f3f2-2a9eed70102e</v>
    <v>en-US</v>
    <v>Map</v>
  </rv>
  <rv s="1">
    <v>536870912</v>
    <v>Alberta</v>
    <v>ac4b7d59-c4be-889f-9a45-7e7c524794ec</v>
    <v>en-US</v>
    <v>Map</v>
  </rv>
  <rv s="1">
    <v>536870912</v>
    <v>Yukon</v>
    <v>68d0a1b9-92a8-857c-53f4-9150cd050ece</v>
    <v>en-US</v>
    <v>Map</v>
  </rv>
  <rv s="1">
    <v>536870912</v>
    <v>Northwest Territories</v>
    <v>2e2284ce-2cc1-0b16-10e6-0783ada7c95b</v>
    <v>en-US</v>
    <v>Map</v>
  </rv>
  <rv s="1">
    <v>536870912</v>
    <v>Nunavut</v>
    <v>5220a5b2-1244-23fe-9851-d4b0373ac92e</v>
    <v>en-US</v>
    <v>Map</v>
  </rv>
  <rv s="1">
    <v>536870912</v>
    <v>British Columbia</v>
    <v>32a8fd1c-cd9d-0da9-35fb-f952ed824d4f</v>
    <v>en-US</v>
    <v>Map</v>
  </rv>
  <rv s="2">
    <v>2</v>
  </rv>
  <rv s="0">
    <fb>0.12844017475747799</fb>
    <v>23</v>
  </rv>
  <rv s="2">
    <v>3</v>
  </rv>
  <rv s="0">
    <fb>0.245</fb>
    <v>23</v>
  </rv>
  <rv s="0">
    <fb>5.5640001296997095E-2</fb>
    <v>31</v>
  </rv>
  <rv s="0">
    <fb>30628482</fb>
    <v>24</v>
  </rv>
  <rv s="4">
    <v>#VALUE!</v>
    <v>16</v>
    <v>17</v>
    <v>Canada</v>
    <v>19</v>
    <v>20</v>
    <v>Map</v>
    <v>21</v>
    <v>22</v>
    <v>en-US</v>
    <v>370ed614-32e1-4326-a356-dc0a7dd56aaa</v>
    <v>536870912</v>
    <v>1</v>
    <v>CA</v>
    <v>0</v>
    <v>1</v>
    <v>2</v>
    <v>3</v>
    <v>4</v>
    <v>5</v>
    <v>6</v>
    <v>7</v>
    <v>8</v>
    <v>CAD</v>
    <v>Canada is a country in North America. Its ten provinces and three territories extend from the Atlantic Ocean to the Pacific Ocean and northward into the Arctic Ocean, making it the world's second-largest country by total area, with the world's ...</v>
    <v>9</v>
    <v>10</v>
    <v>11</v>
    <v>12</v>
    <v>13</v>
    <v>14</v>
    <v>15</v>
    <v>16</v>
    <v>17</v>
    <v>18</v>
    <v>21</v>
    <v>22</v>
    <v>23</v>
    <v>24</v>
    <v>25</v>
    <v>26</v>
    <v>Canada</v>
    <v>O Canada</v>
    <v>27</v>
    <v>Canada</v>
    <v>28</v>
    <v>29</v>
    <v>30</v>
    <v>31</v>
    <v>32</v>
    <v>33</v>
    <v>34</v>
    <v>35</v>
    <v>36</v>
    <v>37</v>
    <v>38</v>
    <v>52</v>
    <v>53</v>
    <v>54</v>
    <v>55</v>
    <v>56</v>
    <v>Canada</v>
    <v>57</v>
    <v>mdp/vdpid/39</v>
  </rv>
  <rv s="0">
    <fb>0.60447196445568596</fb>
    <v>23</v>
  </rv>
  <rv s="0">
    <fb>3287263</fb>
    <v>24</v>
  </rv>
  <rv s="0">
    <fb>3031000</fb>
    <v>24</v>
  </rv>
  <rv s="0">
    <fb>17.856999999999999</fb>
    <v>25</v>
  </rv>
  <rv s="0">
    <fb>91</fb>
    <v>26</v>
  </rv>
  <rv s="1">
    <v>536870912</v>
    <v>New Delhi</v>
    <v>9b1ec747-aca0-6708-8b17-4f08ca9a1c2d</v>
    <v>en-US</v>
    <v>Map</v>
  </rv>
  <rv s="0">
    <fb>2407671.5260000001</fb>
    <v>24</v>
  </rv>
  <rv s="0">
    <fb>180.43581241118</fb>
    <v>27</v>
  </rv>
  <rv s="0">
    <fb>7.6596947427925291E-2</fb>
    <v>23</v>
  </rv>
  <rv s="0">
    <fb>804.51422808927896</fb>
    <v>24</v>
  </rv>
  <rv s="0">
    <fb>2.222</fb>
    <v>25</v>
  </rv>
  <rv s="0">
    <fb>0.23833121474746</fb>
    <v>23</v>
  </rv>
  <rv s="0">
    <fb>73.576979087800794</fb>
    <v>28</v>
  </rv>
  <rv s="0">
    <fb>0.97</fb>
    <v>29</v>
  </rv>
  <rv s="0">
    <fb>2611000000000.0098</fb>
    <v>30</v>
  </rv>
  <rv s="0">
    <fb>1.1295785999999999</fb>
    <v>23</v>
  </rv>
  <rv s="0">
    <fb>0.28060550000000001</fb>
    <v>23</v>
  </rv>
  <rv s="0">
    <fb>29.9</fb>
    <v>28</v>
  </rv>
  <rv s="1">
    <v>536870912</v>
    <v>Mumbai</v>
    <v>fbbc8d69-667a-e1ff-34bf-e524be01025d</v>
    <v>en-US</v>
    <v>Map</v>
  </rv>
  <rv s="1">
    <v>805306368</v>
    <v>Droupadi Murmu (President)</v>
    <v>adde4ff7-2867-52d2-5cee-2e1eb72876cd</v>
    <v>en-US</v>
    <v>Generic</v>
  </rv>
  <rv s="1">
    <v>805306368</v>
    <v>Jagdeep Dhankhar (Vice president)</v>
    <v>cfa2e8c7-64e1-e81b-7e51-6da604f190d6</v>
    <v>en-US</v>
    <v>Generic</v>
  </rv>
  <rv s="1">
    <v>805306368</v>
    <v>Narendra Modi (Prime minister)</v>
    <v>04fee623-e9bd-ee4b-f30d-cad3c29199e4</v>
    <v>en-US</v>
    <v>Generic</v>
  </rv>
  <rv s="1">
    <v>805306368</v>
    <v>Dhananjaya Y. Chandrachud (Chief justice)</v>
    <v>f421a29e-7806-c913-4950-d7dc466c1465</v>
    <v>en-US</v>
    <v>Generic</v>
  </rv>
  <rv s="2">
    <v>4</v>
  </rv>
  <rv s="3">
    <v>https://www.bing.com/search?q=india&amp;form=skydnc</v>
    <v>Learn more on Bing</v>
  </rv>
  <rv s="0">
    <fb>69.415999999999997</fb>
    <v>28</v>
  </rv>
  <rv s="0">
    <fb>2179781240000</fb>
    <v>30</v>
  </rv>
  <rv s="0">
    <fb>145</fb>
    <v>28</v>
  </rv>
  <rv s="0">
    <fb>0.3</fb>
    <v>29</v>
  </rv>
  <rv s="2">
    <v>5</v>
  </rv>
  <rv s="0">
    <fb>0.65060906480000003</fb>
    <v>23</v>
  </rv>
  <rv s="0">
    <fb>0.85709999999999997</fb>
    <v>25</v>
  </rv>
  <rv s="0">
    <fb>1407563842</fb>
    <v>24</v>
  </rv>
  <rv s="0">
    <fb>0.20300000000000001</fb>
    <v>23</v>
  </rv>
  <rv s="0">
    <fb>0.317</fb>
    <v>23</v>
  </rv>
  <rv s="0">
    <fb>0.46200000000000002</fb>
    <v>23</v>
  </rv>
  <rv s="0">
    <fb>3.3000000000000002E-2</fb>
    <v>23</v>
  </rv>
  <rv s="0">
    <fb>7.6999999999999999E-2</fb>
    <v>23</v>
  </rv>
  <rv s="0">
    <fb>0.111</fb>
    <v>23</v>
  </rv>
  <rv s="0">
    <fb>0.14699999999999999</fb>
    <v>23</v>
  </rv>
  <rv s="0">
    <fb>0.49292999267578097</fb>
    <v>23</v>
  </rv>
  <rv s="1">
    <v>536870912</v>
    <v>Arunachal Pradesh</v>
    <v>c2da5cc2-b1a0-f17a-707d-e5067136b9e9</v>
    <v>en-US</v>
    <v>Map</v>
  </rv>
  <rv s="1">
    <v>536870912</v>
    <v>Assam</v>
    <v>a9d4e5df-f559-c28f-dc41-7c72a82dfaf7</v>
    <v>en-US</v>
    <v>Map</v>
  </rv>
  <rv s="1">
    <v>536870912</v>
    <v>Bihar</v>
    <v>e402c108-ade8-40dd-b6d7-f36882e8e3e3</v>
    <v>en-US</v>
    <v>Map</v>
  </rv>
  <rv s="1">
    <v>536870912</v>
    <v>Chhattisgarh</v>
    <v>91e8d1d3-b929-8697-13f5-91241ae0d1b6</v>
    <v>en-US</v>
    <v>Map</v>
  </rv>
  <rv s="1">
    <v>536870912</v>
    <v>Goa</v>
    <v>d9bda1c6-a2c4-994c-5335-195386cef40a</v>
    <v>en-US</v>
    <v>Map</v>
  </rv>
  <rv s="1">
    <v>536870912</v>
    <v>Gujarat</v>
    <v>c70b768e-21ab-4f53-a356-564e8da2291e</v>
    <v>en-US</v>
    <v>Map</v>
  </rv>
  <rv s="1">
    <v>536870912</v>
    <v>Haryana</v>
    <v>f50b36c9-0e06-9b0a-b657-100ebb295bb1</v>
    <v>en-US</v>
    <v>Map</v>
  </rv>
  <rv s="1">
    <v>536870912</v>
    <v>Himachal Pradesh</v>
    <v>0e213229-adc2-378d-f093-949050fffa34</v>
    <v>en-US</v>
    <v>Map</v>
  </rv>
  <rv s="1">
    <v>536870912</v>
    <v>Jharkhand</v>
    <v>9cf33868-3d76-c243-1cd3-91dda44b77e3</v>
    <v>en-US</v>
    <v>Map</v>
  </rv>
  <rv s="1">
    <v>536870912</v>
    <v>Karnataka</v>
    <v>216903eb-bbc1-497e-b914-8eb69db6f747</v>
    <v>en-US</v>
    <v>Map</v>
  </rv>
  <rv s="1">
    <v>536870912</v>
    <v>Kerala</v>
    <v>9d932c0c-d3e6-abbd-5274-6b53036ca764</v>
    <v>en-US</v>
    <v>Map</v>
  </rv>
  <rv s="1">
    <v>536870912</v>
    <v>Madhya Pradesh</v>
    <v>bcbcd891-852b-6dac-1671-8d00b9eae5ea</v>
    <v>en-US</v>
    <v>Map</v>
  </rv>
  <rv s="1">
    <v>536870912</v>
    <v>Maharashtra</v>
    <v>8e20e4dc-1423-75a9-a049-5e500370aafa</v>
    <v>en-US</v>
    <v>Map</v>
  </rv>
  <rv s="1">
    <v>536870912</v>
    <v>Manipur</v>
    <v>774dc6a3-56a4-d8f3-26d2-6e2536af50a5</v>
    <v>en-US</v>
    <v>Map</v>
  </rv>
  <rv s="1">
    <v>536870912</v>
    <v>Meghalaya</v>
    <v>b317786c-1e28-16cc-03ca-835f315a094d</v>
    <v>en-US</v>
    <v>Map</v>
  </rv>
  <rv s="1">
    <v>536870912</v>
    <v>Mizoram</v>
    <v>a1dcfd92-e2ab-1111-48a2-8c885ebd1155</v>
    <v>en-US</v>
    <v>Map</v>
  </rv>
  <rv s="1">
    <v>536870912</v>
    <v>Nagaland</v>
    <v>9097c945-eb0e-f294-cb7f-43ad572c6903</v>
    <v>en-US</v>
    <v>Map</v>
  </rv>
  <rv s="1">
    <v>536870912</v>
    <v>Odisha</v>
    <v>becca699-9820-c027-8e14-b5840348a600</v>
    <v>en-US</v>
    <v>Map</v>
  </rv>
  <rv s="1">
    <v>536870912</v>
    <v>Punjab</v>
    <v>d98d08e1-818e-a7ba-30a5-4637a11eec3e</v>
    <v>en-US</v>
    <v>Map</v>
  </rv>
  <rv s="1">
    <v>536870912</v>
    <v>Rajasthan</v>
    <v>58d414c6-9557-d15b-60ff-52f256e32345</v>
    <v>en-US</v>
    <v>Map</v>
  </rv>
  <rv s="1">
    <v>536870912</v>
    <v>Sikkim</v>
    <v>aa8e9a23-8c5b-d667-7f28-62e9ce93f9bd</v>
    <v>en-US</v>
    <v>Map</v>
  </rv>
  <rv s="1">
    <v>536870912</v>
    <v>Tamil Nadu</v>
    <v>6e3e5a82-8737-a613-1d99-0b4d68370109</v>
    <v>en-US</v>
    <v>Map</v>
  </rv>
  <rv s="1">
    <v>536870912</v>
    <v>Tripura</v>
    <v>a7fa8608-5e0d-f0d4-37a2-b87e3fe2b039</v>
    <v>en-US</v>
    <v>Map</v>
  </rv>
  <rv s="1">
    <v>536870912</v>
    <v>Uttar Pradesh</v>
    <v>f624b656-1585-9836-7a98-128016c67d52</v>
    <v>en-US</v>
    <v>Map</v>
  </rv>
  <rv s="1">
    <v>536870912</v>
    <v>Uttarakhand</v>
    <v>41a39bbc-6b82-df10-b345-3afffff3985d</v>
    <v>en-US</v>
    <v>Map</v>
  </rv>
  <rv s="1">
    <v>536870912</v>
    <v>West Bengal</v>
    <v>067d886f-4d7d-8889-c8c7-d54e2dbc1cb8</v>
    <v>en-US</v>
    <v>Map</v>
  </rv>
  <rv s="1">
    <v>536870912</v>
    <v>Andaman and Nicobar Islands</v>
    <v>0543bce3-574a-8949-ac01-944cd0418886</v>
    <v>en-US</v>
    <v>Map</v>
  </rv>
  <rv s="1">
    <v>536870912</v>
    <v>Chandigarh</v>
    <v>10beaf9e-bdab-00b9-8037-79ffe16cf357</v>
    <v>en-US</v>
    <v>Map</v>
  </rv>
  <rv s="1">
    <v>536870912</v>
    <v>Lakshadweep</v>
    <v>90dcf823-b8a7-5ca7-11dd-dcf29ea357f2</v>
    <v>en-US</v>
    <v>Map</v>
  </rv>
  <rv s="1">
    <v>536870912</v>
    <v>Delhi</v>
    <v>275e8ab8-7bd0-4633-9c89-0133be92e587</v>
    <v>en-US</v>
    <v>Map</v>
  </rv>
  <rv s="1">
    <v>536870912</v>
    <v>Puducherry</v>
    <v>6e0dc6cc-da9d-7f4a-75a8-85997485edfd</v>
    <v>en-US</v>
    <v>Map</v>
  </rv>
  <rv s="1">
    <v>536870912</v>
    <v>Telangana</v>
    <v>19abdc7d-29ea-4ed5-99d8-3a1d7bc90b05</v>
    <v>en-US</v>
    <v>Map</v>
  </rv>
  <rv s="1">
    <v>536870912</v>
    <v>Andhra Pradesh</v>
    <v>9e3a52bb-38ae-c817-5cd2-7a8dd2a4c0e5</v>
    <v>en-US</v>
    <v>Map</v>
  </rv>
  <rv s="1">
    <v>536870912</v>
    <v>Ladakh</v>
    <v>a7a84d3a-9c83-e85a-7347-73d712e71fe2</v>
    <v>en-US</v>
    <v>Map</v>
  </rv>
  <rv s="2">
    <v>6</v>
  </rv>
  <rv s="0">
    <fb>0.111799218352875</fb>
    <v>23</v>
  </rv>
  <rv s="2">
    <v>7</v>
  </rv>
  <rv s="0">
    <fb>0.49700000000000005</fb>
    <v>23</v>
  </rv>
  <rv s="0">
    <fb>5.35500001907349E-2</fb>
    <v>31</v>
  </rv>
  <rv s="0">
    <fb>471031528</fb>
    <v>24</v>
  </rv>
  <rv s="4">
    <v>#VALUE!</v>
    <v>37</v>
    <v>17</v>
    <v>India</v>
    <v>19</v>
    <v>20</v>
    <v>Map</v>
    <v>21</v>
    <v>38</v>
    <v>en-US</v>
    <v>85fa63d3-9596-adb9-b4eb-502273d84f56</v>
    <v>536870912</v>
    <v>1</v>
    <v>IN</v>
    <v>59</v>
    <v>60</v>
    <v>61</v>
    <v>62</v>
    <v>63</v>
    <v>64</v>
    <v>65</v>
    <v>66</v>
    <v>67</v>
    <v>INR</v>
    <v>India, officially the Republic of India, is a country in South Asia. It is the seventh-largest country by area; the most populous country as of June 2023; and from the time of its independence in 1947, the world's most populous democracy. It is ...</v>
    <v>68</v>
    <v>69</v>
    <v>70</v>
    <v>71</v>
    <v>72</v>
    <v>73</v>
    <v>74</v>
    <v>75</v>
    <v>76</v>
    <v>77</v>
    <v>82</v>
    <v>83</v>
    <v>84</v>
    <v>85</v>
    <v>86</v>
    <v>87</v>
    <v>India</v>
    <v>Jana Gana Mana</v>
    <v>88</v>
    <v>भारत गणराज्य</v>
    <v>89</v>
    <v>90</v>
    <v>91</v>
    <v>92</v>
    <v>93</v>
    <v>94</v>
    <v>95</v>
    <v>96</v>
    <v>97</v>
    <v>98</v>
    <v>99</v>
    <v>134</v>
    <v>135</v>
    <v>136</v>
    <v>137</v>
    <v>138</v>
    <v>India</v>
    <v>139</v>
    <v>mdp/vdpid/113</v>
  </rv>
  <rv s="0">
    <fb>0.44369067999501505</fb>
    <v>23</v>
  </rv>
  <rv s="0">
    <fb>9826675</fb>
    <v>24</v>
  </rv>
  <rv s="0">
    <fb>1359000</fb>
    <v>24</v>
  </rv>
  <rv s="0">
    <fb>11.6</fb>
    <v>25</v>
  </rv>
  <rv s="1">
    <v>536870912</v>
    <v>Washington, D.C.</v>
    <v>216726d1-8987-06d3-5eff-823da05c3d3c</v>
    <v>en-US</v>
    <v>Map</v>
  </rv>
  <rv s="0">
    <fb>5006302.0769999996</fb>
    <v>24</v>
  </rv>
  <rv s="0">
    <fb>117.244195476228</fb>
    <v>27</v>
  </rv>
  <rv s="0">
    <fb>7.4999999999999997E-2</fb>
    <v>23</v>
  </rv>
  <rv s="0">
    <fb>12993.961824772699</fb>
    <v>24</v>
  </rv>
  <rv s="0">
    <fb>1.7295</fb>
    <v>25</v>
  </rv>
  <rv s="0">
    <fb>0.339297856663409</fb>
    <v>23</v>
  </rv>
  <rv s="0">
    <fb>82.427828245269197</fb>
    <v>28</v>
  </rv>
  <rv s="0">
    <fb>0.71</fb>
    <v>29</v>
  </rv>
  <rv s="0">
    <fb>21427700000000</fb>
    <v>30</v>
  </rv>
  <rv s="0">
    <fb>1.0182144</fb>
    <v>23</v>
  </rv>
  <rv s="0">
    <fb>0.88167390000000001</fb>
    <v>23</v>
  </rv>
  <rv s="0">
    <fb>5.6</fb>
    <v>28</v>
  </rv>
  <rv s="1">
    <v>536870912</v>
    <v>New York City</v>
    <v>60d5dc2b-c915-460b-b722-c9e3485499ca</v>
    <v>en-US</v>
    <v>Map</v>
  </rv>
  <rv s="1">
    <v>805306368</v>
    <v>Joe Biden (President)</v>
    <v>cad484f9-be75-7a78-12dd-16233f823cd7</v>
    <v>en-US</v>
    <v>Generic</v>
  </rv>
  <rv s="1">
    <v>805306368</v>
    <v>Kamala Harris (Vice president)</v>
    <v>ef5cf66f-32b7-7271-286a-8e8313eda5c5</v>
    <v>en-US</v>
    <v>Generic</v>
  </rv>
  <rv s="1">
    <v>805306368</v>
    <v>Kevin McCarthy (Speaker)</v>
    <v>deb3b1b0-ed4c-206d-2f27-d94f7f833250</v>
    <v>en-US</v>
    <v>Generic</v>
  </rv>
  <rv s="1">
    <v>805306368</v>
    <v>John Roberts (Chief justice)</v>
    <v>af7f7f4b-fd5b-867d-e108-4b6ecf118076</v>
    <v>en-US</v>
    <v>Generic</v>
  </rv>
  <rv s="2">
    <v>8</v>
  </rv>
  <rv s="3">
    <v>https://www.bing.com/search?q=united+states&amp;form=skydnc</v>
    <v>Learn more on Bing</v>
  </rv>
  <rv s="0">
    <fb>78.539024390243895</fb>
    <v>28</v>
  </rv>
  <rv s="0">
    <fb>30436313050000</fb>
    <v>30</v>
  </rv>
  <rv s="0">
    <fb>19</fb>
    <v>28</v>
  </rv>
  <rv s="0">
    <fb>7.25</fb>
    <v>29</v>
  </rv>
  <rv s="2">
    <v>9</v>
  </rv>
  <rv s="0">
    <fb>0.1108387988</fb>
    <v>23</v>
  </rv>
  <rv s="0">
    <fb>2.6120000000000001</fb>
    <v>25</v>
  </rv>
  <rv s="0">
    <fb>331893745</fb>
    <v>24</v>
  </rv>
  <rv s="0">
    <fb>0.22600000000000001</fb>
    <v>23</v>
  </rv>
  <rv s="0">
    <fb>0.30499999999999999</fb>
    <v>23</v>
  </rv>
  <rv s="0">
    <fb>0.46799999999999997</fb>
    <v>23</v>
  </rv>
  <rv s="0">
    <fb>1.7000000000000001E-2</fb>
    <v>23</v>
  </rv>
  <rv s="0">
    <fb>5.0999999999999997E-2</fb>
    <v>23</v>
  </rv>
  <rv s="0">
    <fb>0.10300000000000001</fb>
    <v>23</v>
  </rv>
  <rv s="0">
    <fb>0.153</fb>
    <v>23</v>
  </rv>
  <rv s="0">
    <fb>0.62048999786377002</fb>
    <v>23</v>
  </rv>
  <rv s="1">
    <v>536870912</v>
    <v>Alabama</v>
    <v>376f8b06-52f6-4e72-a31d-311a3563e645</v>
    <v>en-US</v>
    <v>Map</v>
  </rv>
  <rv s="1">
    <v>536870912</v>
    <v>Arkansas</v>
    <v>b939db72-08f2-4ea6-a16a-a53bf32e6612</v>
    <v>en-US</v>
    <v>Map</v>
  </rv>
  <rv s="1">
    <v>536870912</v>
    <v>California</v>
    <v>3009d91d-d582-4c34-85ba-772ba09e5be1</v>
    <v>en-US</v>
    <v>Map</v>
  </rv>
  <rv s="1">
    <v>536870912</v>
    <v>Colorado</v>
    <v>a070c5c2-b22d-41d8-b869-f20e583c4f80</v>
    <v>en-US</v>
    <v>Map</v>
  </rv>
  <rv s="1">
    <v>536870912</v>
    <v>Connecticut</v>
    <v>b3ca6523-435e-4a3b-8f78-1ad900a52cf8</v>
    <v>en-US</v>
    <v>Map</v>
  </rv>
  <rv s="1">
    <v>536870912</v>
    <v>Florida</v>
    <v>5fece3f4-e8e8-4159-843e-f725a930ad50</v>
    <v>en-US</v>
    <v>Map</v>
  </rv>
  <rv s="1">
    <v>536870912</v>
    <v>Georgia</v>
    <v>84604bc7-2c47-4f8d-8ea5-b6ac8c018a20</v>
    <v>en-US</v>
    <v>Map</v>
  </rv>
  <rv s="1">
    <v>536870912</v>
    <v>Hawaii</v>
    <v>b6f01eaf-aecf-44f6-b64d-1f6e982365c3</v>
    <v>en-US</v>
    <v>Map</v>
  </rv>
  <rv s="1">
    <v>536870912</v>
    <v>Idaho</v>
    <v>ecd30387-20fa-4523-9045-e2860154b5e9</v>
    <v>en-US</v>
    <v>Map</v>
  </rv>
  <rv s="1">
    <v>536870912</v>
    <v>Illinois</v>
    <v>4131acb8-628a-4241-8920-ca79eab9dade</v>
    <v>en-US</v>
    <v>Map</v>
  </rv>
  <rv s="1">
    <v>536870912</v>
    <v>Indiana</v>
    <v>109f7e5a-efbb-4953-b4b8-cb812ce1ff5d</v>
    <v>en-US</v>
    <v>Map</v>
  </rv>
  <rv s="1">
    <v>536870912</v>
    <v>Iowa</v>
    <v>77850824-b07a-487a-af58-37f9949afc27</v>
    <v>en-US</v>
    <v>Map</v>
  </rv>
  <rv s="1">
    <v>536870912</v>
    <v>Kansas</v>
    <v>6e527b71-bd3e-4bc1-b1c0-59d288b4fd5e</v>
    <v>en-US</v>
    <v>Map</v>
  </rv>
  <rv s="1">
    <v>536870912</v>
    <v>Kentucky</v>
    <v>108dfd18-4626-481a-8dfa-18f64e6eac84</v>
    <v>en-US</v>
    <v>Map</v>
  </rv>
  <rv s="1">
    <v>536870912</v>
    <v>Louisiana</v>
    <v>0ca1e87f-e2f6-43fb-8deb-d22bd09a9cae</v>
    <v>en-US</v>
    <v>Map</v>
  </rv>
  <rv s="1">
    <v>536870912</v>
    <v>Maine</v>
    <v>d62dd683-9cf9-4db9-a497-d810d529592b</v>
    <v>en-US</v>
    <v>Map</v>
  </rv>
  <rv s="1">
    <v>536870912</v>
    <v>Maryland</v>
    <v>4c472f4d-06a8-4d90-8bb8-da4d168c73fe</v>
    <v>en-US</v>
    <v>Map</v>
  </rv>
  <rv s="1">
    <v>536870912</v>
    <v>Massachusetts</v>
    <v>845219d5-3650-4199-b926-964ca27c863c</v>
    <v>en-US</v>
    <v>Map</v>
  </rv>
  <rv s="1">
    <v>536870912</v>
    <v>Michigan</v>
    <v>162411c2-b757-495d-aa81-93942fae2f7e</v>
    <v>en-US</v>
    <v>Map</v>
  </rv>
  <rv s="1">
    <v>536870912</v>
    <v>Minnesota</v>
    <v>77f97f6f-7e93-46e5-b486-6198effe8dea</v>
    <v>en-US</v>
    <v>Map</v>
  </rv>
  <rv s="1">
    <v>536870912</v>
    <v>Mississippi</v>
    <v>6af619ca-217d-49c0-9a86-153fc7fbcd78</v>
    <v>en-US</v>
    <v>Map</v>
  </rv>
  <rv s="1">
    <v>536870912</v>
    <v>Missouri</v>
    <v>6185f8cb-44e1-4da6-9bf0-b75286aeb591</v>
    <v>en-US</v>
    <v>Map</v>
  </rv>
  <rv s="1">
    <v>536870912</v>
    <v>Montana</v>
    <v>447d6cd5-53f6-4c8f-bf6c-9ff228415c3b</v>
    <v>en-US</v>
    <v>Map</v>
  </rv>
  <rv s="1">
    <v>536870912</v>
    <v>Nebraska</v>
    <v>3e64ff5d-6b40-4dbe-91b1-0e554e892496</v>
    <v>en-US</v>
    <v>Map</v>
  </rv>
  <rv s="1">
    <v>536870912</v>
    <v>Nevada</v>
    <v>c2157d7e-617e-4517-80f8-1b08113afc14</v>
    <v>en-US</v>
    <v>Map</v>
  </rv>
  <rv s="1">
    <v>536870912</v>
    <v>New Hampshire</v>
    <v>9ca71997-cc97-46eb-8911-fac32f80b0b1</v>
    <v>en-US</v>
    <v>Map</v>
  </rv>
  <rv s="1">
    <v>536870912</v>
    <v>New Jersey</v>
    <v>05277898-b62b-4878-8632-09d29756a2ff</v>
    <v>en-US</v>
    <v>Map</v>
  </rv>
  <rv s="1">
    <v>536870912</v>
    <v>New Mexico</v>
    <v>a16d3636-4349-41c7-a77e-89e34b26a8ad</v>
    <v>en-US</v>
    <v>Map</v>
  </rv>
  <rv s="1">
    <v>536870912</v>
    <v>New York</v>
    <v>caeb7b9a-f5d7-4686-8fb5-cf7628296b13</v>
    <v>en-US</v>
    <v>Map</v>
  </rv>
  <rv s="1">
    <v>536870912</v>
    <v>North Carolina</v>
    <v>9e2bf053-dd80-4646-8f26-65075e7085c0</v>
    <v>en-US</v>
    <v>Map</v>
  </rv>
  <rv s="1">
    <v>536870912</v>
    <v>North Dakota</v>
    <v>77fbc744-3efe-4aa9-9e8e-f8034f06b941</v>
    <v>en-US</v>
    <v>Map</v>
  </rv>
  <rv s="1">
    <v>536870912</v>
    <v>Ohio</v>
    <v>6f3df7da-1ef6-48e3-b2b3-b5b5fce3e846</v>
    <v>en-US</v>
    <v>Map</v>
  </rv>
  <rv s="1">
    <v>536870912</v>
    <v>Oklahoma</v>
    <v>cbcf556f-952a-4665-bb95-0500b27f9976</v>
    <v>en-US</v>
    <v>Map</v>
  </rv>
  <rv s="1">
    <v>536870912</v>
    <v>Oregon</v>
    <v>cacd36fd-7c62-43e2-a632-64a2a1811933</v>
    <v>en-US</v>
    <v>Map</v>
  </rv>
  <rv s="1">
    <v>536870912</v>
    <v>Pennsylvania</v>
    <v>6304580e-c803-4266-818a-971619176547</v>
    <v>en-US</v>
    <v>Map</v>
  </rv>
  <rv s="1">
    <v>536870912</v>
    <v>Rhode Island</v>
    <v>65a08f52-b469-4f7c-8353-9b3c0b2a5752</v>
    <v>en-US</v>
    <v>Map</v>
  </rv>
  <rv s="1">
    <v>536870912</v>
    <v>South Carolina</v>
    <v>810015e8-b10b-4232-9e2c-de87a67bd26e</v>
    <v>en-US</v>
    <v>Map</v>
  </rv>
  <rv s="1">
    <v>536870912</v>
    <v>South Dakota</v>
    <v>9cee0b65-d357-479e-a066-31c634648f47</v>
    <v>en-US</v>
    <v>Map</v>
  </rv>
  <rv s="1">
    <v>536870912</v>
    <v>Tennessee</v>
    <v>9bbc9c72-1bf1-4ef6-b66d-a6cdef70f4f3</v>
    <v>en-US</v>
    <v>Map</v>
  </rv>
  <rv s="1">
    <v>536870912</v>
    <v>Texas</v>
    <v>00a23ccd-3344-461c-8b9f-c2bb55be5815</v>
    <v>en-US</v>
    <v>Map</v>
  </rv>
  <rv s="1">
    <v>536870912</v>
    <v>Utah</v>
    <v>c6705e44-d27f-4240-95a2-54e802e3b524</v>
    <v>en-US</v>
    <v>Map</v>
  </rv>
  <rv s="1">
    <v>536870912</v>
    <v>Vermont</v>
    <v>221864cc-447e-4e78-847c-59e485d73bff</v>
    <v>en-US</v>
    <v>Map</v>
  </rv>
  <rv s="1">
    <v>536870912</v>
    <v>Virginia</v>
    <v>7eee9976-e8a7-472c-ada1-007208abd678</v>
    <v>en-US</v>
    <v>Map</v>
  </rv>
  <rv s="1">
    <v>536870912</v>
    <v>Washington</v>
    <v>982ad551-fd5d-45df-bd70-bf704dd576e4</v>
    <v>en-US</v>
    <v>Map</v>
  </rv>
  <rv s="1">
    <v>536870912</v>
    <v>West Virginia</v>
    <v>8a47255a-fae3-4faa-aa32-c6f384cb6c1d</v>
    <v>en-US</v>
    <v>Map</v>
  </rv>
  <rv s="1">
    <v>536870912</v>
    <v>Wisconsin</v>
    <v>cb4d2853-06f4-4467-8e7c-4e31cbb35cb2</v>
    <v>en-US</v>
    <v>Map</v>
  </rv>
  <rv s="1">
    <v>536870912</v>
    <v>Wyoming</v>
    <v>bff03ad6-2b7f-400b-a76e-eb9fc4a93961</v>
    <v>en-US</v>
    <v>Map</v>
  </rv>
  <rv s="1">
    <v>536870912</v>
    <v>American Samoa</v>
    <v>12d04d63-b9b5-855b-0821-b32474a729a4</v>
    <v>en-US</v>
    <v>Map</v>
  </rv>
  <rv s="1">
    <v>536870912</v>
    <v>Guam</v>
    <v>f842c067-b461-3084-6a3b-6c6c7431fc9a</v>
    <v>en-US</v>
    <v>Map</v>
  </rv>
  <rv s="1">
    <v>536870912</v>
    <v>Northern Mariana Islands</v>
    <v>f4475436-adda-9ff0-b5fe-6c3dff0e26be</v>
    <v>en-US</v>
    <v>Map</v>
  </rv>
  <rv s="1">
    <v>536870912</v>
    <v>Puerto Rico</v>
    <v>72752f4d-11d3-5470-b64e-b9e012b0520f</v>
    <v>en-US</v>
    <v>Map</v>
  </rv>
  <rv s="1">
    <v>536870912</v>
    <v>United States Virgin Islands</v>
    <v>38bd827b-bc00-140e-85be-46a96078429c</v>
    <v>en-US</v>
    <v>Map</v>
  </rv>
  <rv s="1">
    <v>536870912</v>
    <v>Alaska</v>
    <v>31c4c7a1-54e7-4306-ac9b-f1b02e85bda5</v>
    <v>en-US</v>
    <v>Map</v>
  </rv>
  <rv s="1">
    <v>536870912</v>
    <v>Arizona</v>
    <v>bf973f46-5962-4997-a7ba-a05f1aa2a9f9</v>
    <v>en-US</v>
    <v>Map</v>
  </rv>
  <rv s="1">
    <v>536870912</v>
    <v>Delaware</v>
    <v>8ad617cc-3d7a-4b3c-a787-098de959ccc4</v>
    <v>en-US</v>
    <v>Map</v>
  </rv>
  <rv s="2">
    <v>10</v>
  </rv>
  <rv s="0">
    <fb>9.5866513904898809E-2</fb>
    <v>23</v>
  </rv>
  <rv s="2">
    <v>11</v>
  </rv>
  <rv s="0">
    <fb>0.36599999999999999</fb>
    <v>23</v>
  </rv>
  <rv s="0">
    <fb>0.14699999999999999</fb>
    <v>31</v>
  </rv>
  <rv s="0">
    <fb>270663028</fb>
    <v>24</v>
  </rv>
  <rv s="4">
    <v>#VALUE!</v>
    <v>43</v>
    <v>17</v>
    <v>United States</v>
    <v>19</v>
    <v>20</v>
    <v>Map</v>
    <v>21</v>
    <v>44</v>
    <v>en-US</v>
    <v>5232ed96-85b1-2edb-12c6-63e6c597a1de</v>
    <v>536870912</v>
    <v>1</v>
    <v>US</v>
    <v>141</v>
    <v>142</v>
    <v>143</v>
    <v>144</v>
    <v>4</v>
    <v>145</v>
    <v>146</v>
    <v>147</v>
    <v>148</v>
    <v>USD</v>
    <v>The United States of America, commonly known as the United States or America, is a country primarily located in North America. It is a federation of 50 states, a federal capital district, and 326 Indian reservations. Outside the union of states, ...</v>
    <v>149</v>
    <v>150</v>
    <v>151</v>
    <v>152</v>
    <v>153</v>
    <v>154</v>
    <v>155</v>
    <v>156</v>
    <v>157</v>
    <v>158</v>
    <v>163</v>
    <v>164</v>
    <v>165</v>
    <v>166</v>
    <v>167</v>
    <v>168</v>
    <v>United States</v>
    <v>The Star-Spangled Banner</v>
    <v>169</v>
    <v>the United States of America</v>
    <v>170</v>
    <v>171</v>
    <v>172</v>
    <v>173</v>
    <v>174</v>
    <v>175</v>
    <v>176</v>
    <v>177</v>
    <v>178</v>
    <v>179</v>
    <v>180</v>
    <v>236</v>
    <v>237</v>
    <v>238</v>
    <v>239</v>
    <v>240</v>
    <v>United States</v>
    <v>241</v>
    <v>mdp/vdpid/244</v>
  </rv>
</rvData>
</file>

<file path=xl/richData/rdrichvaluestructure.xml><?xml version="1.0" encoding="utf-8"?>
<rvStructures xmlns="http://schemas.microsoft.com/office/spreadsheetml/2017/richdata" count="5">
  <s t="_formattednumber">
    <k n="_Format" t="spb"/>
  </s>
  <s t="_linkedentity2">
    <k n="%EntityServiceId" t="i"/>
    <k n="_DisplayString" t="s"/>
    <k n="%EntityId" t="s"/>
    <k n="%EntityCulture" t="s"/>
    <k n="_Icon"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spbArrays>
  <spbData count="45">
    <spb s="0">
      <v xml:space="preserve">data.worldbank.org	</v>
      <v xml:space="preserve">	</v>
      <v xml:space="preserve">http://data.worldbank.org/indicator/FP.CPI.TOTL	</v>
      <v xml:space="preserve">	</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spb>
    <spb s="6">
      <v>https://www.bing.com</v>
      <v>https://www.bing.com/th?id=Ga%5Cbing_yt.png&amp;w=100&amp;h=40&amp;c=0&amp;pid=0.1</v>
      <v>Powered by Bing</v>
    </spb>
    <spb s="7">
      <v>2019</v>
      <v>2019</v>
      <v>square km</v>
      <v>per thousand (2018)</v>
      <v>2021</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8">
      <v>2</v>
    </spb>
    <spb s="8">
      <v>3</v>
    </spb>
    <spb s="8">
      <v>4</v>
    </spb>
    <spb s="8">
      <v>5</v>
    </spb>
    <spb s="8">
      <v>6</v>
    </spb>
    <spb s="8">
      <v>7</v>
    </spb>
    <spb s="8">
      <v>8</v>
    </spb>
    <spb s="8">
      <v>9</v>
    </spb>
    <spb s="8">
      <v>10</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
      <v>0</v>
      <v>32</v>
      <v>33</v>
      <v>33</v>
      <v>3</v>
      <v>33</v>
      <v>33</v>
      <v>33</v>
      <v>34</v>
      <v>33</v>
      <v>33</v>
      <v>34</v>
      <v>33</v>
      <v>33</v>
      <v>35</v>
      <v>6</v>
      <v>36</v>
      <v>35</v>
      <v>7</v>
      <v>33</v>
      <v>35</v>
      <v>8</v>
      <v>9</v>
      <v>10</v>
      <v>35</v>
      <v>35</v>
      <v>33</v>
      <v>35</v>
      <v>11</v>
      <v>12</v>
      <v>13</v>
      <v>14</v>
      <v>35</v>
      <v>36</v>
      <v>35</v>
      <v>35</v>
      <v>35</v>
      <v>35</v>
      <v>35</v>
      <v>35</v>
      <v>35</v>
      <v>35</v>
      <v>35</v>
      <v>35</v>
      <v>15</v>
    </spb>
    <spb s="7">
      <v>2019</v>
      <v>2017</v>
      <v>square km</v>
      <v>per thousand (2018)</v>
      <v>2021</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9">
      <v>0</v>
      <v>39</v>
      <v>40</v>
      <v>40</v>
      <v>3</v>
      <v>40</v>
      <v>40</v>
      <v>40</v>
      <v>41</v>
      <v>40</v>
      <v>40</v>
      <v>41</v>
      <v>40</v>
      <v>40</v>
      <v>6</v>
      <v>39</v>
      <v>42</v>
      <v>7</v>
      <v>40</v>
      <v>42</v>
      <v>8</v>
      <v>9</v>
      <v>10</v>
      <v>42</v>
      <v>40</v>
      <v>42</v>
      <v>11</v>
      <v>12</v>
      <v>13</v>
      <v>14</v>
      <v>42</v>
      <v>39</v>
      <v>42</v>
      <v>42</v>
      <v>42</v>
      <v>42</v>
      <v>42</v>
      <v>42</v>
      <v>42</v>
      <v>42</v>
      <v>42</v>
      <v>42</v>
      <v>15</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NumberFormat" t="s"/>
  </richProperties>
  <richStyles>
    <rSty>
      <rpv i="0">1</rpv>
    </rSty>
    <rSty dxfid="3">
      <rpv i="1">0.0%</rpv>
    </rSty>
    <rSty dxfid="0">
      <rpv i="1">#,##0</rpv>
    </rSty>
    <rSty dxfid="2">
      <rpv i="1">0.00</rpv>
    </rSty>
    <rSty dxfid="5">
      <rpv i="1">0</rpv>
    </rSty>
    <rSty dxfid="4">
      <rpv i="1">#,##0.00</rpv>
    </rSty>
    <rSty dxfid="1">
      <rpv i="1">0.0</rpv>
    </rSty>
    <rSty dxfid="1">
      <rpv i="1">_([$$-en-US]* #,##0.00_);_([$$-en-US]* (#,##0.00);_([$$-en-US]* "-"??_);_(@_)</rpv>
    </rSty>
    <rSty dxfid="1">
      <rpv i="1">_([$$-en-US]* #,##0_);_([$$-en-US]* (#,##0);_([$$-en-US]* "-"_);_(@_)</rpv>
    </rSty>
    <rSty dxfid="3"/>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nsole.cloud.google.com/bigquery?project=tc-da-1&amp;authuser=1&amp;ws=!1m5!1m4!4m3!1stc-da-1!2sturing_data_analytics!3sraw_event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0"/>
  <sheetViews>
    <sheetView topLeftCell="A3" zoomScale="120" zoomScaleNormal="120" workbookViewId="0">
      <selection activeCell="A18" sqref="A18:XFD18"/>
    </sheetView>
  </sheetViews>
  <sheetFormatPr baseColWidth="10" defaultColWidth="12.6640625" defaultRowHeight="15" customHeight="1" x14ac:dyDescent="0.15"/>
  <cols>
    <col min="1" max="2" width="12.6640625" customWidth="1"/>
    <col min="3" max="3" width="17.5" customWidth="1"/>
    <col min="4" max="4" width="17.1640625" customWidth="1"/>
    <col min="5" max="5" width="15.6640625" customWidth="1"/>
    <col min="6" max="6" width="20.33203125" customWidth="1"/>
    <col min="7" max="7" width="20.83203125" customWidth="1"/>
    <col min="8" max="8" width="17.5" customWidth="1"/>
    <col min="12" max="12" width="17" customWidth="1"/>
    <col min="14" max="14" width="16" customWidth="1"/>
  </cols>
  <sheetData>
    <row r="1" spans="1:13" ht="15.75" customHeight="1" x14ac:dyDescent="0.15">
      <c r="A1" s="1" t="s">
        <v>0</v>
      </c>
    </row>
    <row r="2" spans="1:13" ht="15.75" customHeight="1" x14ac:dyDescent="0.15">
      <c r="A2" s="1" t="s">
        <v>1</v>
      </c>
      <c r="E2" s="2" t="s">
        <v>2</v>
      </c>
    </row>
    <row r="3" spans="1:13" ht="30" customHeight="1" x14ac:dyDescent="0.15">
      <c r="A3" s="1" t="s">
        <v>3</v>
      </c>
    </row>
    <row r="4" spans="1:13" s="17" customFormat="1" ht="45" customHeight="1" x14ac:dyDescent="0.15">
      <c r="A4" s="57" t="s">
        <v>4</v>
      </c>
      <c r="B4" s="57"/>
      <c r="C4" s="57"/>
      <c r="D4" s="57"/>
      <c r="E4" s="57"/>
      <c r="F4" s="57"/>
      <c r="G4" s="57"/>
      <c r="H4" s="57"/>
      <c r="I4" s="57"/>
      <c r="J4" s="57"/>
      <c r="K4" s="57"/>
    </row>
    <row r="5" spans="1:13" s="35" customFormat="1" ht="15.75" customHeight="1" x14ac:dyDescent="0.15">
      <c r="A5" s="34" t="s">
        <v>5</v>
      </c>
    </row>
    <row r="6" spans="1:13" ht="15.75" customHeight="1" x14ac:dyDescent="0.15">
      <c r="A6" s="3" t="s">
        <v>6</v>
      </c>
    </row>
    <row r="7" spans="1:13" ht="15.75" customHeight="1" x14ac:dyDescent="0.15">
      <c r="A7" s="1" t="s">
        <v>7</v>
      </c>
      <c r="F7" s="1" t="s">
        <v>8</v>
      </c>
    </row>
    <row r="8" spans="1:13" ht="15.75" customHeight="1" x14ac:dyDescent="0.15">
      <c r="A8" s="4" t="s">
        <v>9</v>
      </c>
      <c r="B8" s="4" t="s">
        <v>10</v>
      </c>
      <c r="C8" s="4" t="s">
        <v>11</v>
      </c>
      <c r="D8" s="4" t="s">
        <v>12</v>
      </c>
      <c r="F8" s="4" t="s">
        <v>9</v>
      </c>
      <c r="G8" s="4" t="s">
        <v>10</v>
      </c>
      <c r="H8" s="4" t="s">
        <v>11</v>
      </c>
      <c r="I8" s="4" t="s">
        <v>12</v>
      </c>
    </row>
    <row r="9" spans="1:13" ht="15.75" customHeight="1" x14ac:dyDescent="0.2">
      <c r="A9" s="5">
        <v>7965612</v>
      </c>
      <c r="B9" s="3" t="s">
        <v>13</v>
      </c>
      <c r="C9" s="6" t="s">
        <v>14</v>
      </c>
      <c r="D9" s="6" t="s">
        <v>15</v>
      </c>
      <c r="F9" s="5">
        <v>7965612</v>
      </c>
      <c r="G9" s="3" t="s">
        <v>13</v>
      </c>
      <c r="H9" s="6" t="s">
        <v>14</v>
      </c>
      <c r="I9" s="6" t="s">
        <v>15</v>
      </c>
    </row>
    <row r="10" spans="1:13" ht="15.75" customHeight="1" x14ac:dyDescent="0.2">
      <c r="A10" s="5">
        <v>7965612</v>
      </c>
      <c r="B10" s="7" t="s">
        <v>16</v>
      </c>
      <c r="C10" s="6" t="s">
        <v>17</v>
      </c>
      <c r="D10" s="6" t="s">
        <v>15</v>
      </c>
      <c r="F10" s="5">
        <v>7965612</v>
      </c>
      <c r="G10" s="3" t="s">
        <v>16</v>
      </c>
      <c r="H10" s="6" t="s">
        <v>17</v>
      </c>
      <c r="I10" s="6" t="s">
        <v>15</v>
      </c>
    </row>
    <row r="11" spans="1:13" ht="15.75" customHeight="1" x14ac:dyDescent="0.2">
      <c r="A11" s="5">
        <v>7965612</v>
      </c>
      <c r="B11" s="7" t="s">
        <v>16</v>
      </c>
      <c r="C11" s="6" t="s">
        <v>18</v>
      </c>
      <c r="D11" s="6" t="s">
        <v>15</v>
      </c>
      <c r="F11" s="8">
        <v>7965612</v>
      </c>
      <c r="G11" s="9" t="s">
        <v>19</v>
      </c>
      <c r="H11" s="10" t="s">
        <v>20</v>
      </c>
      <c r="I11" s="10" t="s">
        <v>15</v>
      </c>
    </row>
    <row r="12" spans="1:13" ht="15.75" customHeight="1" x14ac:dyDescent="0.2">
      <c r="A12" s="5">
        <v>7965612</v>
      </c>
      <c r="B12" s="3" t="s">
        <v>19</v>
      </c>
      <c r="C12" s="6" t="s">
        <v>20</v>
      </c>
      <c r="D12" s="6" t="s">
        <v>15</v>
      </c>
    </row>
    <row r="13" spans="1:13" ht="15.75" customHeight="1" x14ac:dyDescent="0.2">
      <c r="A13" s="8">
        <v>7965612</v>
      </c>
      <c r="B13" s="11" t="s">
        <v>16</v>
      </c>
      <c r="C13" s="10" t="s">
        <v>21</v>
      </c>
      <c r="D13" s="10" t="s">
        <v>15</v>
      </c>
    </row>
    <row r="14" spans="1:13" ht="15.75" customHeight="1" x14ac:dyDescent="0.15">
      <c r="A14" s="3" t="s">
        <v>22</v>
      </c>
      <c r="B14" s="3"/>
    </row>
    <row r="15" spans="1:13" ht="15.75" customHeight="1" x14ac:dyDescent="0.15">
      <c r="A15" s="3"/>
      <c r="B15" s="3"/>
      <c r="M15" s="22"/>
    </row>
    <row r="16" spans="1:13" ht="29" customHeight="1" x14ac:dyDescent="0.15">
      <c r="A16" s="1" t="s">
        <v>23</v>
      </c>
    </row>
    <row r="17" spans="1:9" ht="15.75" customHeight="1" x14ac:dyDescent="0.15">
      <c r="A17" s="3" t="s">
        <v>24</v>
      </c>
    </row>
    <row r="18" spans="1:9" ht="15.75" customHeight="1" x14ac:dyDescent="0.15">
      <c r="A18" s="3" t="s">
        <v>25</v>
      </c>
    </row>
    <row r="19" spans="1:9" ht="15.75" customHeight="1" x14ac:dyDescent="0.15">
      <c r="A19" s="3" t="s">
        <v>26</v>
      </c>
    </row>
    <row r="20" spans="1:9" ht="15.75" customHeight="1" x14ac:dyDescent="0.15">
      <c r="A20" s="3" t="s">
        <v>27</v>
      </c>
    </row>
    <row r="21" spans="1:9" ht="15.75" customHeight="1" x14ac:dyDescent="0.15">
      <c r="A21" s="3" t="s">
        <v>28</v>
      </c>
    </row>
    <row r="22" spans="1:9" ht="15.75" customHeight="1" x14ac:dyDescent="0.15"/>
    <row r="23" spans="1:9" ht="15.75" customHeight="1" x14ac:dyDescent="0.15">
      <c r="A23" s="1" t="s">
        <v>29</v>
      </c>
    </row>
    <row r="24" spans="1:9" ht="15.75" customHeight="1" x14ac:dyDescent="0.15">
      <c r="A24" s="1" t="s">
        <v>30</v>
      </c>
    </row>
    <row r="25" spans="1:9" ht="15.75" customHeight="1" x14ac:dyDescent="0.15">
      <c r="A25" s="1" t="s">
        <v>31</v>
      </c>
    </row>
    <row r="26" spans="1:9" ht="15.75" customHeight="1" x14ac:dyDescent="0.15">
      <c r="A26" s="1" t="s">
        <v>32</v>
      </c>
    </row>
    <row r="27" spans="1:9" ht="15.75" customHeight="1" x14ac:dyDescent="0.15">
      <c r="A27" s="12" t="s">
        <v>33</v>
      </c>
      <c r="B27" s="12" t="s">
        <v>34</v>
      </c>
      <c r="C27" s="12" t="s">
        <v>35</v>
      </c>
      <c r="D27" s="12" t="s">
        <v>36</v>
      </c>
      <c r="E27" s="12" t="s">
        <v>37</v>
      </c>
      <c r="F27" s="12" t="s">
        <v>38</v>
      </c>
      <c r="G27" s="12" t="s">
        <v>39</v>
      </c>
      <c r="H27" s="12" t="s">
        <v>40</v>
      </c>
      <c r="I27" s="12" t="s">
        <v>41</v>
      </c>
    </row>
    <row r="28" spans="1:9" ht="15.75" customHeight="1" x14ac:dyDescent="0.15">
      <c r="A28" s="13">
        <v>1</v>
      </c>
      <c r="B28" s="3" t="s">
        <v>42</v>
      </c>
      <c r="C28" s="14">
        <v>50025</v>
      </c>
      <c r="D28" s="14">
        <v>25174</v>
      </c>
      <c r="E28" s="3">
        <v>11233</v>
      </c>
      <c r="F28" s="15">
        <f>SUM(C28:D28)/SUM(C$28:D$28)</f>
        <v>1</v>
      </c>
      <c r="G28" s="15">
        <f t="shared" ref="G28:I28" si="0">C28/C$28</f>
        <v>1</v>
      </c>
      <c r="H28" s="15">
        <f t="shared" si="0"/>
        <v>1</v>
      </c>
      <c r="I28" s="15">
        <f t="shared" si="0"/>
        <v>1</v>
      </c>
    </row>
    <row r="29" spans="1:9" ht="15.75" customHeight="1" x14ac:dyDescent="0.15">
      <c r="A29" s="13">
        <v>2</v>
      </c>
      <c r="B29" s="3" t="s">
        <v>43</v>
      </c>
      <c r="C29" s="14">
        <v>7145</v>
      </c>
      <c r="D29" s="14">
        <v>5117</v>
      </c>
      <c r="E29" s="3">
        <v>2300</v>
      </c>
      <c r="F29" s="15">
        <f>SUM(C29:E29)/SUM(C$28:E$28)</f>
        <v>0.16847926693817106</v>
      </c>
      <c r="G29" s="15">
        <f t="shared" ref="G29:I29" si="1">C29/C$28</f>
        <v>0.14282858570714643</v>
      </c>
      <c r="H29" s="15">
        <f t="shared" si="1"/>
        <v>0.20326527369508224</v>
      </c>
      <c r="I29" s="15">
        <f t="shared" si="1"/>
        <v>0.20475385026261908</v>
      </c>
    </row>
    <row r="30" spans="1:9" ht="15.75" customHeight="1" x14ac:dyDescent="0.15"/>
    <row r="31" spans="1:9" ht="15.75" customHeight="1" x14ac:dyDescent="0.15">
      <c r="A31" s="3" t="s">
        <v>44</v>
      </c>
    </row>
    <row r="32" spans="1:9" ht="15.75" customHeight="1" x14ac:dyDescent="0.15">
      <c r="A32" s="3" t="s">
        <v>45</v>
      </c>
    </row>
    <row r="33" spans="1:1" ht="15.75" customHeight="1" x14ac:dyDescent="0.15">
      <c r="A33" s="3" t="s">
        <v>46</v>
      </c>
    </row>
    <row r="34" spans="1:1" ht="15.75" customHeight="1" x14ac:dyDescent="0.15">
      <c r="A34" s="1" t="s">
        <v>47</v>
      </c>
    </row>
    <row r="35" spans="1:1" ht="15.75" customHeight="1" x14ac:dyDescent="0.15">
      <c r="A35" s="3" t="s">
        <v>48</v>
      </c>
    </row>
    <row r="36" spans="1:1" ht="15.75" customHeight="1" x14ac:dyDescent="0.15">
      <c r="A36" s="1" t="s">
        <v>49</v>
      </c>
    </row>
    <row r="37" spans="1:1" ht="15.75" customHeight="1" x14ac:dyDescent="0.15">
      <c r="A37" s="3" t="s">
        <v>50</v>
      </c>
    </row>
    <row r="38" spans="1:1" ht="15.75" customHeight="1" x14ac:dyDescent="0.15"/>
    <row r="39" spans="1:1" ht="15.75" customHeight="1" x14ac:dyDescent="0.15"/>
    <row r="40" spans="1:1" ht="15.75" customHeight="1" x14ac:dyDescent="0.15">
      <c r="A40" s="1" t="s">
        <v>51</v>
      </c>
    </row>
    <row r="41" spans="1:1" ht="15.75" customHeight="1" x14ac:dyDescent="0.15"/>
    <row r="42" spans="1:1" ht="15.75" customHeight="1" x14ac:dyDescent="0.15">
      <c r="A42" s="1" t="s">
        <v>52</v>
      </c>
    </row>
    <row r="43" spans="1:1" ht="15.75" customHeight="1" x14ac:dyDescent="0.15">
      <c r="A43" s="3" t="s">
        <v>53</v>
      </c>
    </row>
    <row r="44" spans="1:1" ht="15.75" customHeight="1" x14ac:dyDescent="0.15">
      <c r="A44" s="3" t="s">
        <v>54</v>
      </c>
    </row>
    <row r="45" spans="1:1" ht="15.75" customHeight="1" x14ac:dyDescent="0.15">
      <c r="A45" s="3" t="s">
        <v>55</v>
      </c>
    </row>
    <row r="46" spans="1:1" ht="15.75" customHeight="1" x14ac:dyDescent="0.15">
      <c r="A46" s="3" t="s">
        <v>56</v>
      </c>
    </row>
    <row r="47" spans="1:1" ht="15.75" customHeight="1" x14ac:dyDescent="0.15">
      <c r="A47" s="3" t="s">
        <v>57</v>
      </c>
    </row>
    <row r="48" spans="1:1" ht="15.75" customHeight="1" x14ac:dyDescent="0.15">
      <c r="A48" s="3" t="s">
        <v>58</v>
      </c>
    </row>
    <row r="49" spans="1:1" ht="15.75" customHeight="1" x14ac:dyDescent="0.15">
      <c r="A49" s="3"/>
    </row>
    <row r="50" spans="1:1" ht="15.75" customHeight="1" x14ac:dyDescent="0.15">
      <c r="A50" s="3" t="s">
        <v>59</v>
      </c>
    </row>
    <row r="51" spans="1:1" ht="15.75" customHeight="1" x14ac:dyDescent="0.15">
      <c r="A51" s="16" t="s">
        <v>60</v>
      </c>
    </row>
    <row r="52" spans="1:1" ht="15.75" customHeight="1" x14ac:dyDescent="0.15">
      <c r="A52" s="3" t="s">
        <v>61</v>
      </c>
    </row>
    <row r="53" spans="1:1" ht="15.75" customHeight="1" x14ac:dyDescent="0.15">
      <c r="A53" s="3" t="s">
        <v>62</v>
      </c>
    </row>
    <row r="54" spans="1:1" ht="15.75" customHeight="1" x14ac:dyDescent="0.15">
      <c r="A54" s="3" t="s">
        <v>63</v>
      </c>
    </row>
    <row r="55" spans="1:1" ht="15.75" customHeight="1" x14ac:dyDescent="0.15">
      <c r="A55" s="3" t="s">
        <v>64</v>
      </c>
    </row>
    <row r="56" spans="1:1" ht="15.75" customHeight="1" x14ac:dyDescent="0.15"/>
    <row r="57" spans="1:1" ht="15.75" customHeight="1" x14ac:dyDescent="0.15"/>
    <row r="58" spans="1:1" ht="15.75" customHeight="1" x14ac:dyDescent="0.15"/>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A4:K4"/>
  </mergeCells>
  <hyperlinks>
    <hyperlink ref="E2" r:id="rId1" xr:uid="{00000000-0004-0000-0000-000000000000}"/>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B3:U1004"/>
  <sheetViews>
    <sheetView tabSelected="1" zoomScale="92" zoomScaleNormal="70" workbookViewId="0">
      <selection activeCell="O36" sqref="O36"/>
    </sheetView>
  </sheetViews>
  <sheetFormatPr baseColWidth="10" defaultColWidth="12.6640625" defaultRowHeight="15" customHeight="1" x14ac:dyDescent="0.2"/>
  <cols>
    <col min="1" max="1" width="12.6640625" style="27"/>
    <col min="2" max="2" width="6.83203125" style="27" customWidth="1"/>
    <col min="3" max="3" width="17.5" style="27" customWidth="1"/>
    <col min="4" max="7" width="15.33203125" style="27" customWidth="1"/>
    <col min="8" max="8" width="13.83203125" style="27" customWidth="1"/>
    <col min="9" max="9" width="6.83203125" style="27" customWidth="1"/>
    <col min="10" max="10" width="18.1640625" style="27" customWidth="1"/>
    <col min="11" max="14" width="15.33203125" style="27" customWidth="1"/>
    <col min="15" max="15" width="15.83203125" style="27" customWidth="1"/>
    <col min="16" max="16" width="12.6640625" style="27"/>
    <col min="17" max="17" width="14" style="27" customWidth="1"/>
    <col min="18" max="18" width="14.83203125" style="27" customWidth="1"/>
    <col min="19" max="19" width="16.5" style="27" customWidth="1"/>
    <col min="20" max="20" width="15.5" style="27" customWidth="1"/>
    <col min="21" max="21" width="17.6640625" style="27" customWidth="1"/>
    <col min="22" max="16384" width="12.6640625" style="27"/>
  </cols>
  <sheetData>
    <row r="3" spans="2:14" ht="30" customHeight="1" x14ac:dyDescent="0.2">
      <c r="B3" s="60" t="s">
        <v>109</v>
      </c>
      <c r="C3" s="60"/>
      <c r="D3" s="60"/>
      <c r="E3" s="60"/>
      <c r="F3" s="60"/>
      <c r="G3" s="60"/>
      <c r="H3" s="60"/>
      <c r="I3" s="60"/>
      <c r="J3" s="60"/>
      <c r="K3" s="60"/>
      <c r="L3" s="60"/>
      <c r="M3" s="60"/>
      <c r="N3" s="60"/>
    </row>
    <row r="4" spans="2:14" ht="15" customHeight="1" x14ac:dyDescent="0.25">
      <c r="B4" s="37"/>
      <c r="C4" s="37"/>
      <c r="D4" s="37"/>
      <c r="E4" s="37"/>
      <c r="F4" s="37"/>
      <c r="G4" s="37"/>
      <c r="H4" s="37"/>
      <c r="I4" s="37"/>
      <c r="J4" s="37"/>
      <c r="K4" s="37"/>
      <c r="L4" s="37"/>
      <c r="M4" s="37"/>
      <c r="N4" s="37"/>
    </row>
    <row r="5" spans="2:14" ht="18" x14ac:dyDescent="0.2">
      <c r="B5" s="59" t="s">
        <v>110</v>
      </c>
      <c r="C5" s="59"/>
      <c r="D5" s="59"/>
      <c r="E5" s="59"/>
      <c r="F5" s="59"/>
      <c r="G5" s="59"/>
      <c r="H5" s="59"/>
      <c r="I5" s="59"/>
      <c r="J5" s="59"/>
      <c r="K5" s="59"/>
      <c r="L5" s="59"/>
      <c r="M5" s="59"/>
      <c r="N5" s="59"/>
    </row>
    <row r="6" spans="2:14" s="31" customFormat="1" ht="18" x14ac:dyDescent="0.2">
      <c r="B6" s="40"/>
      <c r="C6" s="39"/>
      <c r="D6" s="39"/>
      <c r="E6" s="40"/>
      <c r="F6" s="40"/>
      <c r="G6" s="40"/>
      <c r="H6" s="40"/>
      <c r="I6" s="40"/>
      <c r="J6" s="40"/>
      <c r="K6" s="40"/>
      <c r="L6" s="40"/>
      <c r="M6" s="40"/>
      <c r="N6" s="40"/>
    </row>
    <row r="7" spans="2:14" ht="15.75" customHeight="1" x14ac:dyDescent="0.2">
      <c r="B7" s="38"/>
      <c r="C7" s="38"/>
      <c r="D7" s="41"/>
      <c r="E7" s="38"/>
      <c r="F7" s="38"/>
      <c r="G7" s="38"/>
      <c r="H7" s="38"/>
      <c r="I7" s="38"/>
      <c r="J7" s="38"/>
      <c r="K7" s="38"/>
      <c r="L7" s="38"/>
      <c r="M7" s="38"/>
      <c r="N7" s="38"/>
    </row>
    <row r="8" spans="2:14" ht="15.75" customHeight="1" x14ac:dyDescent="0.2">
      <c r="B8" s="38"/>
      <c r="C8" s="38"/>
      <c r="D8" s="41"/>
      <c r="E8" s="38"/>
      <c r="F8" s="38"/>
      <c r="G8" s="38"/>
      <c r="H8" s="38"/>
      <c r="I8" s="38"/>
      <c r="J8" s="38"/>
      <c r="K8" s="38"/>
      <c r="L8" s="38"/>
      <c r="M8" s="38"/>
      <c r="N8" s="38"/>
    </row>
    <row r="9" spans="2:14" ht="15.75" customHeight="1" x14ac:dyDescent="0.2">
      <c r="B9" s="38"/>
      <c r="C9" s="38"/>
      <c r="D9" s="41"/>
      <c r="E9" s="38"/>
      <c r="F9" s="38"/>
      <c r="G9" s="38"/>
      <c r="H9" s="38"/>
      <c r="I9" s="38"/>
      <c r="J9" s="38"/>
      <c r="K9" s="38"/>
      <c r="L9" s="38"/>
      <c r="M9" s="38"/>
      <c r="N9" s="38"/>
    </row>
    <row r="10" spans="2:14" ht="15.75" customHeight="1" x14ac:dyDescent="0.2">
      <c r="B10" s="38"/>
      <c r="C10" s="38"/>
      <c r="D10" s="41"/>
      <c r="E10" s="38"/>
      <c r="F10" s="38"/>
      <c r="G10" s="38"/>
      <c r="H10" s="38"/>
      <c r="I10" s="38"/>
      <c r="J10" s="38"/>
      <c r="K10" s="38"/>
      <c r="L10" s="38"/>
      <c r="M10" s="38"/>
      <c r="N10" s="38"/>
    </row>
    <row r="11" spans="2:14" ht="15.75" customHeight="1" x14ac:dyDescent="0.2">
      <c r="B11" s="38"/>
      <c r="C11" s="38"/>
      <c r="D11" s="41"/>
      <c r="E11" s="38"/>
      <c r="F11" s="38"/>
      <c r="G11" s="38"/>
      <c r="H11" s="38"/>
      <c r="I11" s="38"/>
      <c r="J11" s="38"/>
      <c r="K11" s="38"/>
      <c r="L11" s="38"/>
      <c r="M11" s="38"/>
      <c r="N11" s="38"/>
    </row>
    <row r="12" spans="2:14" ht="15.75" customHeight="1" x14ac:dyDescent="0.2">
      <c r="B12" s="38"/>
      <c r="C12" s="38"/>
      <c r="D12" s="41"/>
      <c r="E12" s="38"/>
      <c r="F12" s="38"/>
      <c r="G12" s="38"/>
      <c r="H12" s="38"/>
      <c r="I12" s="38"/>
      <c r="J12" s="38"/>
      <c r="K12" s="38"/>
      <c r="L12" s="38"/>
      <c r="M12" s="38"/>
      <c r="N12" s="38"/>
    </row>
    <row r="13" spans="2:14" ht="15.75" customHeight="1" x14ac:dyDescent="0.2">
      <c r="B13" s="38"/>
      <c r="C13" s="38"/>
      <c r="D13" s="38"/>
      <c r="E13" s="38"/>
      <c r="F13" s="38"/>
      <c r="G13" s="38"/>
      <c r="H13" s="38"/>
      <c r="I13" s="38"/>
      <c r="J13" s="38"/>
      <c r="K13" s="38"/>
      <c r="L13" s="38"/>
      <c r="M13" s="38"/>
      <c r="N13" s="38"/>
    </row>
    <row r="14" spans="2:14" ht="15.75" customHeight="1" x14ac:dyDescent="0.2">
      <c r="B14" s="38"/>
      <c r="C14" s="38"/>
      <c r="D14" s="38"/>
      <c r="E14" s="38"/>
      <c r="F14" s="38"/>
      <c r="G14" s="38"/>
      <c r="H14" s="38"/>
      <c r="I14" s="38"/>
      <c r="J14" s="38"/>
      <c r="K14" s="38"/>
      <c r="L14" s="38"/>
      <c r="M14" s="38"/>
      <c r="N14" s="38"/>
    </row>
    <row r="15" spans="2:14" ht="15.75" customHeight="1" x14ac:dyDescent="0.2">
      <c r="B15" s="38"/>
      <c r="C15" s="38"/>
      <c r="D15" s="38"/>
      <c r="E15" s="38"/>
      <c r="F15" s="38"/>
      <c r="G15" s="38"/>
      <c r="H15" s="38"/>
      <c r="I15" s="38"/>
      <c r="J15" s="38"/>
      <c r="K15" s="38"/>
      <c r="L15" s="38"/>
      <c r="M15" s="38"/>
      <c r="N15" s="38"/>
    </row>
    <row r="16" spans="2:14" ht="15.75" customHeight="1" x14ac:dyDescent="0.2">
      <c r="B16" s="38"/>
      <c r="C16" s="38"/>
      <c r="D16" s="38"/>
      <c r="E16" s="38"/>
      <c r="F16" s="38"/>
      <c r="G16" s="38"/>
      <c r="H16" s="38"/>
      <c r="I16" s="38"/>
      <c r="J16" s="38"/>
      <c r="K16" s="38"/>
      <c r="L16" s="38"/>
      <c r="M16" s="38"/>
      <c r="N16" s="38"/>
    </row>
    <row r="17" spans="2:20" ht="15.75" customHeight="1" x14ac:dyDescent="0.2">
      <c r="B17" s="38"/>
      <c r="C17" s="38"/>
      <c r="D17" s="38"/>
      <c r="E17" s="38"/>
      <c r="F17" s="38"/>
      <c r="G17" s="38"/>
      <c r="H17" s="38"/>
      <c r="I17" s="38"/>
      <c r="J17" s="38"/>
      <c r="K17" s="38"/>
      <c r="L17" s="38"/>
      <c r="M17" s="38"/>
      <c r="N17" s="38"/>
    </row>
    <row r="18" spans="2:20" ht="15.75" customHeight="1" x14ac:dyDescent="0.2">
      <c r="B18" s="38"/>
      <c r="C18" s="38"/>
      <c r="D18" s="38"/>
      <c r="E18" s="38"/>
      <c r="F18" s="38"/>
      <c r="G18" s="38"/>
      <c r="H18" s="38"/>
      <c r="I18" s="38"/>
      <c r="J18" s="38"/>
      <c r="K18" s="38"/>
      <c r="L18" s="38"/>
      <c r="M18" s="38"/>
      <c r="N18" s="38"/>
    </row>
    <row r="19" spans="2:20" ht="15.75" customHeight="1" x14ac:dyDescent="0.2">
      <c r="B19" s="38"/>
      <c r="C19" s="38"/>
      <c r="D19" s="38"/>
      <c r="E19" s="38"/>
      <c r="F19" s="38"/>
      <c r="G19" s="38"/>
      <c r="H19" s="38"/>
      <c r="I19" s="38"/>
      <c r="J19" s="38"/>
      <c r="K19" s="38"/>
      <c r="L19" s="38"/>
      <c r="M19" s="38"/>
      <c r="N19" s="38"/>
    </row>
    <row r="20" spans="2:20" ht="15.75" customHeight="1" x14ac:dyDescent="0.2">
      <c r="B20" s="38"/>
      <c r="C20" s="38"/>
      <c r="D20" s="38"/>
      <c r="E20" s="38"/>
      <c r="F20" s="38"/>
      <c r="G20" s="38"/>
      <c r="H20" s="38"/>
      <c r="I20" s="38"/>
      <c r="J20" s="38"/>
      <c r="K20" s="38"/>
      <c r="L20" s="38"/>
      <c r="M20" s="38"/>
      <c r="N20" s="38"/>
    </row>
    <row r="21" spans="2:20" ht="15.75" customHeight="1" x14ac:dyDescent="0.2">
      <c r="B21" s="38"/>
      <c r="C21" s="38"/>
      <c r="D21" s="38"/>
      <c r="E21" s="38"/>
      <c r="F21" s="38"/>
      <c r="G21" s="38"/>
      <c r="H21" s="38"/>
      <c r="I21" s="38"/>
      <c r="J21" s="38"/>
      <c r="K21" s="38"/>
      <c r="L21" s="38"/>
      <c r="M21" s="38"/>
      <c r="N21" s="38"/>
    </row>
    <row r="22" spans="2:20" ht="18" x14ac:dyDescent="0.2">
      <c r="B22" s="38"/>
      <c r="C22" s="39" t="s">
        <v>116</v>
      </c>
      <c r="D22" s="38"/>
      <c r="E22" s="38"/>
      <c r="F22" s="38"/>
      <c r="G22" s="38"/>
      <c r="H22" s="38"/>
      <c r="I22" s="38"/>
      <c r="J22" s="39" t="s">
        <v>139</v>
      </c>
      <c r="K22" s="39"/>
      <c r="L22" s="38"/>
      <c r="M22" s="38"/>
      <c r="N22" s="38"/>
    </row>
    <row r="23" spans="2:20" ht="10" customHeight="1" x14ac:dyDescent="0.2">
      <c r="B23" s="38"/>
      <c r="C23" s="39"/>
      <c r="D23" s="38"/>
      <c r="E23" s="38"/>
      <c r="F23" s="38"/>
      <c r="G23" s="38"/>
      <c r="H23" s="38"/>
      <c r="I23" s="38"/>
      <c r="J23" s="39"/>
      <c r="K23" s="39"/>
      <c r="L23" s="38"/>
      <c r="M23" s="38"/>
      <c r="N23" s="38"/>
    </row>
    <row r="24" spans="2:20" s="30" customFormat="1" ht="34" x14ac:dyDescent="0.2">
      <c r="B24" s="42" t="s">
        <v>111</v>
      </c>
      <c r="C24" s="43" t="s">
        <v>108</v>
      </c>
      <c r="D24" s="43" t="s">
        <v>117</v>
      </c>
      <c r="E24" s="43" t="s">
        <v>118</v>
      </c>
      <c r="F24" s="43" t="s">
        <v>105</v>
      </c>
      <c r="G24" s="44" t="s">
        <v>106</v>
      </c>
      <c r="H24" s="45"/>
      <c r="I24" s="42" t="s">
        <v>111</v>
      </c>
      <c r="J24" s="43" t="s">
        <v>108</v>
      </c>
      <c r="K24" s="43" t="s">
        <v>117</v>
      </c>
      <c r="L24" s="43" t="s">
        <v>118</v>
      </c>
      <c r="M24" s="43" t="s">
        <v>105</v>
      </c>
      <c r="N24" s="44" t="s">
        <v>106</v>
      </c>
      <c r="P24" s="27"/>
      <c r="Q24" s="27"/>
      <c r="R24" s="27"/>
      <c r="S24" s="27"/>
    </row>
    <row r="25" spans="2:20" ht="15.75" customHeight="1" x14ac:dyDescent="0.2">
      <c r="B25" s="46">
        <v>1</v>
      </c>
      <c r="C25" s="56" t="s">
        <v>140</v>
      </c>
      <c r="D25" s="47">
        <v>267116</v>
      </c>
      <c r="E25" s="47">
        <v>117160</v>
      </c>
      <c r="F25" s="47">
        <v>25059</v>
      </c>
      <c r="G25" s="48">
        <v>20037</v>
      </c>
      <c r="H25" s="38"/>
      <c r="I25" s="46">
        <v>1</v>
      </c>
      <c r="J25" s="56" t="str">
        <f>C25</f>
        <v>Session start</v>
      </c>
      <c r="K25" s="32">
        <f>D25/D25</f>
        <v>1</v>
      </c>
      <c r="L25" s="32">
        <f>E25/E25</f>
        <v>1</v>
      </c>
      <c r="M25" s="32">
        <f>F25/F25</f>
        <v>1</v>
      </c>
      <c r="N25" s="33">
        <f>G25/G25</f>
        <v>1</v>
      </c>
      <c r="T25" s="36"/>
    </row>
    <row r="26" spans="2:20" ht="15.75" customHeight="1" x14ac:dyDescent="0.2">
      <c r="B26" s="46">
        <v>2</v>
      </c>
      <c r="C26" s="56" t="s">
        <v>141</v>
      </c>
      <c r="D26" s="47">
        <v>138098</v>
      </c>
      <c r="E26" s="47">
        <v>60726</v>
      </c>
      <c r="F26" s="47">
        <v>13000</v>
      </c>
      <c r="G26" s="48">
        <v>10350</v>
      </c>
      <c r="H26" s="38"/>
      <c r="I26" s="46">
        <v>2</v>
      </c>
      <c r="J26" s="56" t="str">
        <f t="shared" ref="J26:J30" si="0">C26</f>
        <v>Scroll</v>
      </c>
      <c r="K26" s="49">
        <f t="shared" ref="K26:N30" si="1">(D26/D25)-1</f>
        <v>-0.48300363886850661</v>
      </c>
      <c r="L26" s="49">
        <f t="shared" si="1"/>
        <v>-0.48168316831683167</v>
      </c>
      <c r="M26" s="49">
        <f t="shared" si="1"/>
        <v>-0.4812243106269205</v>
      </c>
      <c r="N26" s="50">
        <f t="shared" si="1"/>
        <v>-0.48345560712681535</v>
      </c>
      <c r="T26" s="36"/>
    </row>
    <row r="27" spans="2:20" ht="15.75" customHeight="1" x14ac:dyDescent="0.2">
      <c r="B27" s="46">
        <v>3</v>
      </c>
      <c r="C27" s="56" t="s">
        <v>142</v>
      </c>
      <c r="D27" s="47">
        <v>61252</v>
      </c>
      <c r="E27" s="47">
        <v>26953</v>
      </c>
      <c r="F27" s="47">
        <v>5795</v>
      </c>
      <c r="G27" s="48">
        <v>4653</v>
      </c>
      <c r="H27" s="38"/>
      <c r="I27" s="46">
        <v>3</v>
      </c>
      <c r="J27" s="56" t="str">
        <f t="shared" si="0"/>
        <v>View item</v>
      </c>
      <c r="K27" s="49">
        <f t="shared" si="1"/>
        <v>-0.55645990528465294</v>
      </c>
      <c r="L27" s="49">
        <f t="shared" si="1"/>
        <v>-0.55615387148832462</v>
      </c>
      <c r="M27" s="49">
        <f t="shared" si="1"/>
        <v>-0.5542307692307693</v>
      </c>
      <c r="N27" s="50">
        <f t="shared" si="1"/>
        <v>-0.55043478260869572</v>
      </c>
      <c r="T27" s="36"/>
    </row>
    <row r="28" spans="2:20" ht="15.75" customHeight="1" x14ac:dyDescent="0.2">
      <c r="B28" s="46">
        <v>4</v>
      </c>
      <c r="C28" s="56" t="s">
        <v>143</v>
      </c>
      <c r="D28" s="47">
        <v>12545</v>
      </c>
      <c r="E28" s="47">
        <v>5603</v>
      </c>
      <c r="F28" s="47">
        <v>1162</v>
      </c>
      <c r="G28" s="48">
        <v>993</v>
      </c>
      <c r="H28" s="38"/>
      <c r="I28" s="46">
        <v>4</v>
      </c>
      <c r="J28" s="56" t="str">
        <f t="shared" si="0"/>
        <v>Add to cart</v>
      </c>
      <c r="K28" s="32">
        <f t="shared" si="1"/>
        <v>-0.79519036113106512</v>
      </c>
      <c r="L28" s="32">
        <f t="shared" si="1"/>
        <v>-0.7921196156272029</v>
      </c>
      <c r="M28" s="32">
        <f t="shared" si="1"/>
        <v>-0.79948231233822264</v>
      </c>
      <c r="N28" s="33">
        <f t="shared" si="1"/>
        <v>-0.78658929722759507</v>
      </c>
      <c r="T28" s="36"/>
    </row>
    <row r="29" spans="2:20" ht="15.75" customHeight="1" x14ac:dyDescent="0.2">
      <c r="B29" s="46">
        <v>5</v>
      </c>
      <c r="C29" s="56" t="s">
        <v>144</v>
      </c>
      <c r="D29" s="47">
        <v>5751</v>
      </c>
      <c r="E29" s="47">
        <v>2516</v>
      </c>
      <c r="F29" s="47">
        <v>524</v>
      </c>
      <c r="G29" s="48">
        <v>465</v>
      </c>
      <c r="H29" s="38"/>
      <c r="I29" s="46">
        <v>5</v>
      </c>
      <c r="J29" s="56" t="str">
        <f t="shared" si="0"/>
        <v>Add payment info</v>
      </c>
      <c r="K29" s="49">
        <f t="shared" si="1"/>
        <v>-0.54157034675169391</v>
      </c>
      <c r="L29" s="49">
        <f t="shared" si="1"/>
        <v>-0.55095484561841879</v>
      </c>
      <c r="M29" s="49">
        <f t="shared" si="1"/>
        <v>-0.54905335628227192</v>
      </c>
      <c r="N29" s="50">
        <f t="shared" si="1"/>
        <v>-0.53172205438066467</v>
      </c>
      <c r="T29" s="36"/>
    </row>
    <row r="30" spans="2:20" ht="15.75" customHeight="1" x14ac:dyDescent="0.2">
      <c r="B30" s="46">
        <v>6</v>
      </c>
      <c r="C30" s="56" t="s">
        <v>145</v>
      </c>
      <c r="D30" s="47">
        <v>4419</v>
      </c>
      <c r="E30" s="47">
        <v>1942</v>
      </c>
      <c r="F30" s="47">
        <v>406</v>
      </c>
      <c r="G30" s="48">
        <v>355</v>
      </c>
      <c r="H30" s="38"/>
      <c r="I30" s="46">
        <v>6</v>
      </c>
      <c r="J30" s="56" t="str">
        <f t="shared" si="0"/>
        <v>Purchase</v>
      </c>
      <c r="K30" s="49">
        <f t="shared" si="1"/>
        <v>-0.23161189358372458</v>
      </c>
      <c r="L30" s="49">
        <f t="shared" si="1"/>
        <v>-0.22813990461049283</v>
      </c>
      <c r="M30" s="49">
        <f t="shared" si="1"/>
        <v>-0.22519083969465647</v>
      </c>
      <c r="N30" s="50">
        <f t="shared" si="1"/>
        <v>-0.23655913978494625</v>
      </c>
      <c r="T30" s="36"/>
    </row>
    <row r="31" spans="2:20" s="35" customFormat="1" ht="20" customHeight="1" x14ac:dyDescent="0.15"/>
    <row r="32" spans="2:20" ht="23" customHeight="1" x14ac:dyDescent="0.2">
      <c r="B32" s="38"/>
      <c r="C32" s="59" t="s">
        <v>118</v>
      </c>
      <c r="D32" s="59"/>
      <c r="E32" s="59"/>
      <c r="F32" s="38"/>
      <c r="G32" s="59" t="s">
        <v>149</v>
      </c>
      <c r="H32" s="59"/>
      <c r="I32" s="59"/>
      <c r="J32" s="59"/>
      <c r="K32" s="38"/>
      <c r="L32" s="59" t="s">
        <v>150</v>
      </c>
      <c r="M32" s="59"/>
      <c r="N32" s="59"/>
    </row>
    <row r="33" spans="2:21" ht="15.75" customHeight="1" x14ac:dyDescent="0.2">
      <c r="B33" s="38"/>
      <c r="C33" s="38"/>
      <c r="D33" s="38"/>
      <c r="E33" s="38"/>
      <c r="F33" s="38"/>
      <c r="G33" s="38"/>
      <c r="H33" s="38"/>
      <c r="I33" s="38"/>
      <c r="J33" s="38"/>
      <c r="K33" s="38"/>
      <c r="L33" s="38"/>
      <c r="M33" s="38"/>
      <c r="N33" s="38"/>
    </row>
    <row r="34" spans="2:21" ht="15.75" customHeight="1" x14ac:dyDescent="0.2">
      <c r="B34" s="38"/>
      <c r="C34" s="38"/>
      <c r="D34" s="38"/>
      <c r="E34" s="38"/>
      <c r="F34" s="38"/>
      <c r="G34" s="38"/>
      <c r="H34" s="38"/>
      <c r="I34" s="38"/>
      <c r="J34" s="38"/>
      <c r="K34" s="38"/>
      <c r="L34" s="38"/>
      <c r="M34" s="38"/>
      <c r="N34" s="38"/>
    </row>
    <row r="35" spans="2:21" ht="15.75" customHeight="1" x14ac:dyDescent="0.2">
      <c r="B35" s="38"/>
      <c r="C35" s="38"/>
      <c r="D35" s="38"/>
      <c r="E35" s="38"/>
      <c r="F35" s="38"/>
      <c r="G35" s="38"/>
      <c r="H35" s="38"/>
      <c r="I35" s="38"/>
      <c r="J35" s="38"/>
      <c r="K35" s="38"/>
      <c r="L35" s="38"/>
      <c r="M35" s="38"/>
      <c r="N35" s="38"/>
    </row>
    <row r="36" spans="2:21" ht="15.75" customHeight="1" x14ac:dyDescent="0.2">
      <c r="B36" s="38"/>
      <c r="C36" s="38"/>
      <c r="D36" s="38"/>
      <c r="E36" s="38"/>
      <c r="F36" s="38"/>
      <c r="G36" s="38"/>
      <c r="H36" s="38"/>
      <c r="I36" s="38"/>
      <c r="J36" s="38"/>
      <c r="K36" s="38"/>
      <c r="L36" s="38"/>
      <c r="M36" s="38"/>
      <c r="N36" s="38"/>
    </row>
    <row r="37" spans="2:21" ht="15.75" customHeight="1" x14ac:dyDescent="0.2">
      <c r="B37" s="38"/>
      <c r="C37" s="38"/>
      <c r="D37" s="38"/>
      <c r="E37" s="38"/>
      <c r="F37" s="38"/>
      <c r="G37" s="38"/>
      <c r="H37" s="38"/>
      <c r="I37" s="38"/>
      <c r="J37" s="38"/>
      <c r="K37" s="38"/>
      <c r="L37" s="38"/>
      <c r="M37" s="38"/>
      <c r="N37" s="38"/>
    </row>
    <row r="38" spans="2:21" ht="15.75" customHeight="1" x14ac:dyDescent="0.2">
      <c r="B38" s="38"/>
      <c r="C38" s="38"/>
      <c r="D38" s="38"/>
      <c r="E38" s="38"/>
      <c r="F38" s="38"/>
      <c r="G38" s="38"/>
      <c r="H38" s="38"/>
      <c r="I38" s="38"/>
      <c r="J38" s="38"/>
      <c r="K38" s="38"/>
      <c r="L38" s="38"/>
      <c r="M38" s="38"/>
      <c r="N38" s="38"/>
    </row>
    <row r="39" spans="2:21" ht="15.75" customHeight="1" x14ac:dyDescent="0.2">
      <c r="B39" s="51"/>
      <c r="C39" s="38"/>
      <c r="D39" s="38"/>
      <c r="E39" s="38"/>
      <c r="F39" s="38"/>
      <c r="G39" s="38"/>
      <c r="H39" s="38"/>
      <c r="I39" s="38"/>
      <c r="J39" s="38"/>
      <c r="K39" s="38"/>
      <c r="L39" s="38"/>
      <c r="M39" s="38"/>
      <c r="N39" s="38"/>
    </row>
    <row r="40" spans="2:21" ht="15.75" customHeight="1" x14ac:dyDescent="0.2">
      <c r="B40" s="38"/>
      <c r="C40" s="38"/>
      <c r="D40" s="38"/>
      <c r="E40" s="38"/>
      <c r="F40" s="38"/>
      <c r="G40" s="38"/>
      <c r="H40" s="38"/>
      <c r="I40" s="38"/>
      <c r="J40" s="38"/>
      <c r="K40" s="38"/>
      <c r="L40" s="38"/>
      <c r="M40" s="38"/>
      <c r="N40" s="38"/>
    </row>
    <row r="41" spans="2:21" ht="15.75" customHeight="1" x14ac:dyDescent="0.2">
      <c r="B41" s="38"/>
      <c r="C41" s="38"/>
      <c r="D41" s="38"/>
      <c r="E41" s="38"/>
      <c r="F41" s="38"/>
      <c r="G41" s="38"/>
      <c r="H41" s="38"/>
      <c r="I41" s="38"/>
      <c r="J41" s="38"/>
      <c r="K41" s="38"/>
      <c r="L41" s="38"/>
      <c r="M41" s="38"/>
      <c r="N41" s="38"/>
    </row>
    <row r="42" spans="2:21" ht="15.75" customHeight="1" x14ac:dyDescent="0.2">
      <c r="B42" s="38"/>
      <c r="C42" s="38"/>
      <c r="D42" s="38"/>
      <c r="E42" s="38"/>
      <c r="F42" s="38"/>
      <c r="G42" s="38"/>
      <c r="H42" s="38"/>
      <c r="I42" s="38"/>
      <c r="J42" s="38"/>
      <c r="K42" s="38"/>
      <c r="L42" s="38"/>
      <c r="M42" s="38"/>
      <c r="N42" s="38"/>
    </row>
    <row r="43" spans="2:21" ht="15.75" customHeight="1" x14ac:dyDescent="0.2">
      <c r="B43" s="38"/>
      <c r="C43" s="38"/>
      <c r="D43" s="38"/>
      <c r="E43" s="38"/>
      <c r="F43" s="38"/>
      <c r="G43" s="38"/>
      <c r="H43" s="38"/>
      <c r="I43" s="38"/>
      <c r="J43" s="38"/>
      <c r="K43" s="38"/>
      <c r="L43" s="51"/>
      <c r="M43" s="51"/>
      <c r="N43" s="51"/>
      <c r="O43" s="28"/>
      <c r="P43" s="28"/>
      <c r="Q43" s="28"/>
      <c r="R43" s="28"/>
      <c r="S43" s="28"/>
      <c r="T43" s="28"/>
      <c r="U43" s="28"/>
    </row>
    <row r="44" spans="2:21" ht="15.75" customHeight="1" x14ac:dyDescent="0.2">
      <c r="B44" s="38"/>
      <c r="C44" s="38"/>
      <c r="D44" s="38"/>
      <c r="E44" s="38"/>
      <c r="F44" s="38"/>
      <c r="G44" s="38"/>
      <c r="H44" s="38"/>
      <c r="I44" s="38"/>
      <c r="J44" s="38"/>
      <c r="K44" s="38"/>
      <c r="L44" s="38"/>
      <c r="M44" s="38"/>
      <c r="N44" s="38"/>
      <c r="R44" s="29"/>
      <c r="S44" s="29"/>
      <c r="T44" s="29"/>
      <c r="U44" s="29"/>
    </row>
    <row r="45" spans="2:21" ht="15.75" customHeight="1" x14ac:dyDescent="0.2">
      <c r="B45" s="38"/>
      <c r="C45" s="38"/>
      <c r="D45" s="38"/>
      <c r="E45" s="38"/>
      <c r="F45" s="38"/>
      <c r="G45" s="38"/>
      <c r="H45" s="38"/>
      <c r="I45" s="38"/>
      <c r="J45" s="38"/>
      <c r="K45" s="38"/>
      <c r="L45" s="38"/>
      <c r="M45" s="38"/>
      <c r="N45" s="38"/>
      <c r="R45" s="29"/>
      <c r="S45" s="29"/>
      <c r="T45" s="29"/>
      <c r="U45" s="29"/>
    </row>
    <row r="46" spans="2:21" ht="15.75" customHeight="1" x14ac:dyDescent="0.2">
      <c r="B46" s="38"/>
      <c r="C46" s="38"/>
      <c r="D46" s="38"/>
      <c r="E46" s="38"/>
      <c r="F46" s="38"/>
      <c r="G46" s="38"/>
      <c r="H46" s="38"/>
      <c r="I46" s="38"/>
      <c r="J46" s="38"/>
      <c r="K46" s="38"/>
      <c r="L46" s="38"/>
      <c r="M46" s="38"/>
      <c r="N46" s="38"/>
      <c r="R46" s="29"/>
      <c r="S46" s="29"/>
      <c r="T46" s="29"/>
      <c r="U46" s="29"/>
    </row>
    <row r="47" spans="2:21" ht="15.75" customHeight="1" x14ac:dyDescent="0.2">
      <c r="B47" s="38"/>
      <c r="C47" s="38"/>
      <c r="D47" s="38"/>
      <c r="E47" s="38"/>
      <c r="F47" s="38"/>
      <c r="G47" s="38"/>
      <c r="H47" s="38"/>
      <c r="I47" s="38"/>
      <c r="J47" s="38"/>
      <c r="K47" s="38"/>
      <c r="L47" s="38"/>
      <c r="M47" s="38"/>
      <c r="N47" s="38"/>
      <c r="R47" s="29"/>
      <c r="S47" s="29"/>
      <c r="T47" s="29"/>
      <c r="U47" s="29"/>
    </row>
    <row r="48" spans="2:21" ht="29" customHeight="1" x14ac:dyDescent="0.2">
      <c r="B48" s="54" t="s">
        <v>112</v>
      </c>
      <c r="C48" s="54"/>
      <c r="D48" s="54"/>
      <c r="E48" s="54"/>
      <c r="F48" s="54"/>
      <c r="G48" s="54"/>
      <c r="H48" s="54"/>
      <c r="I48" s="54"/>
      <c r="J48" s="54"/>
      <c r="K48" s="54"/>
      <c r="L48" s="54"/>
      <c r="M48" s="54"/>
      <c r="N48" s="54"/>
      <c r="R48" s="29"/>
      <c r="S48" s="29"/>
      <c r="T48" s="29"/>
      <c r="U48" s="29"/>
    </row>
    <row r="49" spans="2:21" ht="24" customHeight="1" x14ac:dyDescent="0.2">
      <c r="B49" s="58" t="s">
        <v>148</v>
      </c>
      <c r="C49" s="58"/>
      <c r="D49" s="58"/>
      <c r="E49" s="58"/>
      <c r="F49" s="58"/>
      <c r="G49" s="58"/>
      <c r="H49" s="58"/>
      <c r="I49" s="58"/>
      <c r="J49" s="58"/>
      <c r="K49" s="58"/>
      <c r="L49" s="58"/>
      <c r="M49" s="58"/>
      <c r="N49" s="58"/>
      <c r="R49" s="29"/>
      <c r="S49" s="29"/>
      <c r="T49" s="29"/>
      <c r="U49" s="29"/>
    </row>
    <row r="50" spans="2:21" ht="24" customHeight="1" x14ac:dyDescent="0.2">
      <c r="B50" s="58" t="s">
        <v>113</v>
      </c>
      <c r="C50" s="58"/>
      <c r="D50" s="58"/>
      <c r="E50" s="58"/>
      <c r="F50" s="58"/>
      <c r="G50" s="58"/>
      <c r="H50" s="58"/>
      <c r="I50" s="58"/>
      <c r="J50" s="58"/>
      <c r="K50" s="58"/>
      <c r="L50" s="58"/>
      <c r="M50" s="58"/>
      <c r="N50" s="58"/>
    </row>
    <row r="51" spans="2:21" ht="24" customHeight="1" x14ac:dyDescent="0.2">
      <c r="B51" s="58" t="s">
        <v>146</v>
      </c>
      <c r="C51" s="58"/>
      <c r="D51" s="58"/>
      <c r="E51" s="58"/>
      <c r="F51" s="58"/>
      <c r="G51" s="58"/>
      <c r="H51" s="58"/>
      <c r="I51" s="58"/>
      <c r="J51" s="58"/>
      <c r="K51" s="58"/>
      <c r="L51" s="58"/>
      <c r="M51" s="58"/>
      <c r="N51" s="58"/>
    </row>
    <row r="52" spans="2:21" ht="19" customHeight="1" x14ac:dyDescent="0.2">
      <c r="B52" s="53" t="s">
        <v>147</v>
      </c>
      <c r="C52" s="53"/>
      <c r="D52" s="53"/>
      <c r="E52" s="53"/>
      <c r="F52" s="53"/>
      <c r="G52" s="53"/>
      <c r="H52" s="53"/>
      <c r="I52" s="53"/>
      <c r="J52" s="53"/>
      <c r="K52" s="53"/>
      <c r="L52" s="53"/>
      <c r="M52" s="53"/>
      <c r="N52" s="53"/>
    </row>
    <row r="53" spans="2:21" ht="24" customHeight="1" x14ac:dyDescent="0.2">
      <c r="B53" s="58" t="s">
        <v>114</v>
      </c>
      <c r="C53" s="58"/>
      <c r="D53" s="58"/>
      <c r="E53" s="58"/>
      <c r="F53" s="58"/>
      <c r="G53" s="58"/>
      <c r="H53" s="58"/>
      <c r="I53" s="58"/>
      <c r="J53" s="58"/>
      <c r="K53" s="58"/>
      <c r="L53" s="58"/>
      <c r="M53" s="58"/>
      <c r="N53" s="58"/>
    </row>
    <row r="54" spans="2:21" ht="24" customHeight="1" x14ac:dyDescent="0.2">
      <c r="B54" s="53" t="s">
        <v>115</v>
      </c>
      <c r="C54" s="53"/>
      <c r="D54" s="53"/>
      <c r="E54" s="53"/>
      <c r="F54" s="53"/>
      <c r="G54" s="53"/>
      <c r="H54" s="53"/>
      <c r="I54" s="53"/>
      <c r="J54" s="53"/>
      <c r="K54" s="53"/>
      <c r="L54" s="53"/>
      <c r="M54" s="53"/>
      <c r="N54" s="53"/>
    </row>
    <row r="55" spans="2:21" ht="15.75" customHeight="1" x14ac:dyDescent="0.2">
      <c r="B55" s="53"/>
      <c r="C55" s="53"/>
      <c r="D55" s="53"/>
      <c r="E55" s="53"/>
      <c r="F55" s="53"/>
      <c r="G55" s="53"/>
      <c r="H55" s="53"/>
      <c r="I55" s="53"/>
      <c r="J55" s="53"/>
      <c r="K55" s="53"/>
      <c r="L55" s="53"/>
      <c r="M55" s="53"/>
      <c r="N55" s="53"/>
    </row>
    <row r="56" spans="2:21" ht="15.75" customHeight="1" x14ac:dyDescent="0.2">
      <c r="F56" s="52"/>
      <c r="H56" s="52"/>
    </row>
    <row r="57" spans="2:21" ht="15.75" customHeight="1" x14ac:dyDescent="0.2"/>
    <row r="58" spans="2:21" ht="15.75" customHeight="1" x14ac:dyDescent="0.2"/>
    <row r="59" spans="2:21" ht="15.75" customHeight="1" x14ac:dyDescent="0.2"/>
    <row r="60" spans="2:21" ht="15.75" customHeight="1" x14ac:dyDescent="0.2"/>
    <row r="61" spans="2:21" ht="15.75" customHeight="1" x14ac:dyDescent="0.2"/>
    <row r="62" spans="2:21" ht="15.75" customHeight="1" x14ac:dyDescent="0.2"/>
    <row r="63" spans="2:21" ht="15.75" customHeight="1" x14ac:dyDescent="0.2"/>
    <row r="64" spans="2:21" ht="15.75" customHeight="1" x14ac:dyDescent="0.2"/>
    <row r="65" spans="2:8" ht="15.75" customHeight="1" x14ac:dyDescent="0.2"/>
    <row r="66" spans="2:8" ht="15.75" customHeight="1" x14ac:dyDescent="0.2"/>
    <row r="67" spans="2:8" ht="15.75" customHeight="1" x14ac:dyDescent="0.2"/>
    <row r="68" spans="2:8" ht="15.75" customHeight="1" x14ac:dyDescent="0.2"/>
    <row r="69" spans="2:8" ht="15.75" customHeight="1" x14ac:dyDescent="0.2">
      <c r="B69" s="28"/>
      <c r="H69" s="28"/>
    </row>
    <row r="70" spans="2:8" ht="15.75" customHeight="1" x14ac:dyDescent="0.2"/>
    <row r="71" spans="2:8" ht="15.75" customHeight="1" x14ac:dyDescent="0.2"/>
    <row r="72" spans="2:8" ht="15.75" customHeight="1" x14ac:dyDescent="0.2"/>
    <row r="73" spans="2:8" ht="15.75" customHeight="1" x14ac:dyDescent="0.2"/>
    <row r="74" spans="2:8" ht="15.75" customHeight="1" x14ac:dyDescent="0.2"/>
    <row r="75" spans="2:8" ht="15.75" customHeight="1" x14ac:dyDescent="0.2"/>
    <row r="76" spans="2:8" ht="15.75" customHeight="1" x14ac:dyDescent="0.2"/>
    <row r="77" spans="2:8" ht="15.75" customHeight="1" x14ac:dyDescent="0.2"/>
    <row r="78" spans="2:8" ht="15.75" customHeight="1" x14ac:dyDescent="0.2"/>
    <row r="79" spans="2:8" ht="15.75" customHeight="1" x14ac:dyDescent="0.2"/>
    <row r="80" spans="2: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9">
    <mergeCell ref="B3:N3"/>
    <mergeCell ref="C32:E32"/>
    <mergeCell ref="G32:J32"/>
    <mergeCell ref="L32:N32"/>
    <mergeCell ref="B53:N53"/>
    <mergeCell ref="B5:N5"/>
    <mergeCell ref="B49:N49"/>
    <mergeCell ref="B50:N50"/>
    <mergeCell ref="B51:N51"/>
  </mergeCells>
  <conditionalFormatting sqref="K25:N30">
    <cfRule type="colorScale" priority="2">
      <colorScale>
        <cfvo type="min"/>
        <cfvo type="percentile" val="50"/>
        <cfvo type="max"/>
        <color theme="5"/>
        <color rgb="FFFCFCFF"/>
        <color theme="4"/>
      </colorScale>
    </cfRule>
  </conditionalFormatting>
  <pageMargins left="0.7" right="0.7" top="0.75" bottom="0.75" header="0.3" footer="0.3"/>
  <pageSetup scale="55" orientation="landscape"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7717-3EF7-8F47-B0F8-AC0E30517AA5}">
  <dimension ref="A1:B20"/>
  <sheetViews>
    <sheetView zoomScale="130" zoomScaleNormal="130" workbookViewId="0">
      <selection activeCell="A9" sqref="A9:B9"/>
    </sheetView>
  </sheetViews>
  <sheetFormatPr baseColWidth="10" defaultRowHeight="13" x14ac:dyDescent="0.15"/>
  <cols>
    <col min="1" max="1" width="24.5" bestFit="1" customWidth="1"/>
    <col min="2" max="2" width="12.1640625" bestFit="1" customWidth="1"/>
  </cols>
  <sheetData>
    <row r="1" spans="1:2" x14ac:dyDescent="0.15">
      <c r="A1" s="22" t="s">
        <v>107</v>
      </c>
    </row>
    <row r="3" spans="1:2" x14ac:dyDescent="0.15">
      <c r="A3" s="23" t="s">
        <v>34</v>
      </c>
      <c r="B3" s="23" t="s">
        <v>97</v>
      </c>
    </row>
    <row r="4" spans="1:2" x14ac:dyDescent="0.15">
      <c r="A4" t="s">
        <v>85</v>
      </c>
      <c r="B4" s="25">
        <v>269792</v>
      </c>
    </row>
    <row r="5" spans="1:2" x14ac:dyDescent="0.15">
      <c r="A5" s="24" t="s">
        <v>13</v>
      </c>
      <c r="B5" s="26">
        <v>267116</v>
      </c>
    </row>
    <row r="6" spans="1:2" x14ac:dyDescent="0.15">
      <c r="A6" t="s">
        <v>86</v>
      </c>
      <c r="B6" s="25">
        <v>257314</v>
      </c>
    </row>
    <row r="7" spans="1:2" x14ac:dyDescent="0.15">
      <c r="A7" t="s">
        <v>83</v>
      </c>
      <c r="B7" s="25">
        <v>213004</v>
      </c>
    </row>
    <row r="8" spans="1:2" x14ac:dyDescent="0.15">
      <c r="A8" s="24" t="s">
        <v>84</v>
      </c>
      <c r="B8" s="26">
        <v>138098</v>
      </c>
    </row>
    <row r="9" spans="1:2" x14ac:dyDescent="0.15">
      <c r="A9" t="s">
        <v>88</v>
      </c>
      <c r="B9" s="25">
        <v>102443</v>
      </c>
    </row>
    <row r="10" spans="1:2" x14ac:dyDescent="0.15">
      <c r="A10" s="24" t="s">
        <v>16</v>
      </c>
      <c r="B10" s="26">
        <v>61252</v>
      </c>
    </row>
    <row r="11" spans="1:2" x14ac:dyDescent="0.15">
      <c r="A11" t="s">
        <v>93</v>
      </c>
      <c r="B11" s="25">
        <v>14449</v>
      </c>
    </row>
    <row r="12" spans="1:2" x14ac:dyDescent="0.15">
      <c r="A12" t="s">
        <v>87</v>
      </c>
      <c r="B12" s="25">
        <v>13180</v>
      </c>
    </row>
    <row r="13" spans="1:2" x14ac:dyDescent="0.15">
      <c r="A13" s="24" t="s">
        <v>19</v>
      </c>
      <c r="B13" s="26">
        <v>12545</v>
      </c>
    </row>
    <row r="14" spans="1:2" x14ac:dyDescent="0.15">
      <c r="A14" t="s">
        <v>90</v>
      </c>
      <c r="B14" s="25">
        <v>9715</v>
      </c>
    </row>
    <row r="15" spans="1:2" x14ac:dyDescent="0.15">
      <c r="A15" t="s">
        <v>92</v>
      </c>
      <c r="B15" s="25">
        <v>9714</v>
      </c>
    </row>
    <row r="16" spans="1:2" x14ac:dyDescent="0.15">
      <c r="A16" t="s">
        <v>89</v>
      </c>
      <c r="B16" s="25">
        <v>8164</v>
      </c>
    </row>
    <row r="17" spans="1:2" x14ac:dyDescent="0.15">
      <c r="A17" s="24" t="s">
        <v>94</v>
      </c>
      <c r="B17" s="26">
        <v>5751</v>
      </c>
    </row>
    <row r="18" spans="1:2" x14ac:dyDescent="0.15">
      <c r="A18" s="24" t="s">
        <v>95</v>
      </c>
      <c r="B18" s="26">
        <v>4419</v>
      </c>
    </row>
    <row r="19" spans="1:2" x14ac:dyDescent="0.15">
      <c r="A19" t="s">
        <v>91</v>
      </c>
      <c r="B19" s="25">
        <v>1010</v>
      </c>
    </row>
    <row r="20" spans="1:2" x14ac:dyDescent="0.15">
      <c r="A20" t="s">
        <v>96</v>
      </c>
      <c r="B20" s="25">
        <v>44</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59877-D73E-C54C-B2CC-5AB4B287239D}">
  <dimension ref="A1:A112"/>
  <sheetViews>
    <sheetView topLeftCell="A77" workbookViewId="0">
      <selection activeCell="A89" sqref="A89"/>
    </sheetView>
  </sheetViews>
  <sheetFormatPr baseColWidth="10" defaultRowHeight="13" x14ac:dyDescent="0.15"/>
  <cols>
    <col min="1" max="1" width="84.5" customWidth="1"/>
  </cols>
  <sheetData>
    <row r="1" spans="1:1" ht="16" x14ac:dyDescent="0.2">
      <c r="A1" s="55" t="s">
        <v>119</v>
      </c>
    </row>
    <row r="2" spans="1:1" ht="16" x14ac:dyDescent="0.2">
      <c r="A2" s="18" t="s">
        <v>65</v>
      </c>
    </row>
    <row r="3" spans="1:1" ht="16" x14ac:dyDescent="0.2">
      <c r="A3" s="18" t="s">
        <v>66</v>
      </c>
    </row>
    <row r="4" spans="1:1" ht="16" x14ac:dyDescent="0.2">
      <c r="A4" s="19" t="s">
        <v>67</v>
      </c>
    </row>
    <row r="5" spans="1:1" ht="16" x14ac:dyDescent="0.2">
      <c r="A5" s="19" t="s">
        <v>68</v>
      </c>
    </row>
    <row r="6" spans="1:1" ht="16" x14ac:dyDescent="0.2">
      <c r="A6" s="18" t="s">
        <v>69</v>
      </c>
    </row>
    <row r="7" spans="1:1" ht="16" x14ac:dyDescent="0.2">
      <c r="A7" s="18" t="s">
        <v>70</v>
      </c>
    </row>
    <row r="8" spans="1:1" ht="16" x14ac:dyDescent="0.2">
      <c r="A8" s="18" t="s">
        <v>71</v>
      </c>
    </row>
    <row r="9" spans="1:1" ht="16" x14ac:dyDescent="0.2">
      <c r="A9" s="20" t="s">
        <v>72</v>
      </c>
    </row>
    <row r="10" spans="1:1" ht="16" x14ac:dyDescent="0.2">
      <c r="A10" s="18" t="s">
        <v>66</v>
      </c>
    </row>
    <row r="11" spans="1:1" ht="16" x14ac:dyDescent="0.2">
      <c r="A11" s="19" t="s">
        <v>73</v>
      </c>
    </row>
    <row r="12" spans="1:1" ht="16" x14ac:dyDescent="0.2">
      <c r="A12" s="18" t="s">
        <v>74</v>
      </c>
    </row>
    <row r="13" spans="1:1" ht="16" x14ac:dyDescent="0.2">
      <c r="A13" s="21" t="s">
        <v>75</v>
      </c>
    </row>
    <row r="14" spans="1:1" ht="16" x14ac:dyDescent="0.2">
      <c r="A14" s="18" t="s">
        <v>76</v>
      </c>
    </row>
    <row r="15" spans="1:1" ht="16" x14ac:dyDescent="0.2">
      <c r="A15" s="19" t="s">
        <v>77</v>
      </c>
    </row>
    <row r="16" spans="1:1" ht="16" x14ac:dyDescent="0.2">
      <c r="A16" s="18" t="s">
        <v>78</v>
      </c>
    </row>
    <row r="17" spans="1:1" ht="16" x14ac:dyDescent="0.2">
      <c r="A17" s="18" t="s">
        <v>79</v>
      </c>
    </row>
    <row r="18" spans="1:1" ht="16" x14ac:dyDescent="0.2">
      <c r="A18" s="18" t="s">
        <v>80</v>
      </c>
    </row>
    <row r="19" spans="1:1" ht="16" x14ac:dyDescent="0.2">
      <c r="A19" s="18" t="s">
        <v>81</v>
      </c>
    </row>
    <row r="20" spans="1:1" ht="16" x14ac:dyDescent="0.2">
      <c r="A20" s="19" t="s">
        <v>82</v>
      </c>
    </row>
    <row r="24" spans="1:1" ht="16" x14ac:dyDescent="0.2">
      <c r="A24" s="55" t="s">
        <v>120</v>
      </c>
    </row>
    <row r="25" spans="1:1" ht="16" x14ac:dyDescent="0.2">
      <c r="A25" s="18" t="s">
        <v>65</v>
      </c>
    </row>
    <row r="26" spans="1:1" ht="16" x14ac:dyDescent="0.2">
      <c r="A26" s="18" t="s">
        <v>66</v>
      </c>
    </row>
    <row r="27" spans="1:1" ht="16" x14ac:dyDescent="0.2">
      <c r="A27" s="19" t="s">
        <v>67</v>
      </c>
    </row>
    <row r="28" spans="1:1" ht="16" x14ac:dyDescent="0.2">
      <c r="A28" s="19" t="s">
        <v>68</v>
      </c>
    </row>
    <row r="29" spans="1:1" ht="16" x14ac:dyDescent="0.2">
      <c r="A29" s="18" t="s">
        <v>69</v>
      </c>
    </row>
    <row r="30" spans="1:1" ht="16" x14ac:dyDescent="0.2">
      <c r="A30" s="18" t="s">
        <v>74</v>
      </c>
    </row>
    <row r="31" spans="1:1" ht="16" x14ac:dyDescent="0.2">
      <c r="A31" s="21" t="s">
        <v>98</v>
      </c>
    </row>
    <row r="32" spans="1:1" ht="16" x14ac:dyDescent="0.2">
      <c r="A32" s="18" t="s">
        <v>99</v>
      </c>
    </row>
    <row r="33" spans="1:1" ht="16" x14ac:dyDescent="0.2">
      <c r="A33" s="19" t="s">
        <v>100</v>
      </c>
    </row>
    <row r="34" spans="1:1" ht="16" x14ac:dyDescent="0.2">
      <c r="A34" s="20" t="s">
        <v>72</v>
      </c>
    </row>
    <row r="35" spans="1:1" ht="16" x14ac:dyDescent="0.2">
      <c r="A35" s="18" t="s">
        <v>66</v>
      </c>
    </row>
    <row r="36" spans="1:1" ht="16" x14ac:dyDescent="0.2">
      <c r="A36" s="19" t="s">
        <v>130</v>
      </c>
    </row>
    <row r="37" spans="1:1" ht="16" x14ac:dyDescent="0.2">
      <c r="A37" s="18" t="s">
        <v>101</v>
      </c>
    </row>
    <row r="38" spans="1:1" ht="16" x14ac:dyDescent="0.2">
      <c r="A38" s="18" t="s">
        <v>74</v>
      </c>
    </row>
    <row r="39" spans="1:1" ht="16" x14ac:dyDescent="0.2">
      <c r="A39" s="21" t="s">
        <v>75</v>
      </c>
    </row>
    <row r="40" spans="1:1" ht="16" x14ac:dyDescent="0.2">
      <c r="A40" s="18" t="s">
        <v>76</v>
      </c>
    </row>
    <row r="41" spans="1:1" ht="16" x14ac:dyDescent="0.2">
      <c r="A41" s="19" t="s">
        <v>77</v>
      </c>
    </row>
    <row r="42" spans="1:1" ht="16" x14ac:dyDescent="0.2">
      <c r="A42" s="18" t="s">
        <v>102</v>
      </c>
    </row>
    <row r="43" spans="1:1" ht="16" x14ac:dyDescent="0.2">
      <c r="A43" s="19" t="s">
        <v>103</v>
      </c>
    </row>
    <row r="44" spans="1:1" ht="16" x14ac:dyDescent="0.2">
      <c r="A44" s="18" t="s">
        <v>79</v>
      </c>
    </row>
    <row r="45" spans="1:1" ht="16" x14ac:dyDescent="0.2">
      <c r="A45" s="18" t="s">
        <v>80</v>
      </c>
    </row>
    <row r="46" spans="1:1" ht="16" x14ac:dyDescent="0.2">
      <c r="A46" s="18" t="s">
        <v>99</v>
      </c>
    </row>
    <row r="47" spans="1:1" ht="16" x14ac:dyDescent="0.2">
      <c r="A47" s="19" t="s">
        <v>104</v>
      </c>
    </row>
    <row r="48" spans="1:1" ht="16" x14ac:dyDescent="0.2">
      <c r="A48" s="18" t="s">
        <v>81</v>
      </c>
    </row>
    <row r="49" spans="1:1" ht="16" x14ac:dyDescent="0.2">
      <c r="A49" s="19" t="s">
        <v>121</v>
      </c>
    </row>
    <row r="52" spans="1:1" ht="16" x14ac:dyDescent="0.2">
      <c r="A52" s="55" t="s">
        <v>122</v>
      </c>
    </row>
    <row r="53" spans="1:1" ht="16" x14ac:dyDescent="0.2">
      <c r="A53" s="18" t="s">
        <v>65</v>
      </c>
    </row>
    <row r="54" spans="1:1" ht="16" x14ac:dyDescent="0.2">
      <c r="A54" s="18" t="s">
        <v>66</v>
      </c>
    </row>
    <row r="55" spans="1:1" ht="16" x14ac:dyDescent="0.2">
      <c r="A55" s="19" t="s">
        <v>67</v>
      </c>
    </row>
    <row r="56" spans="1:1" ht="16" x14ac:dyDescent="0.2">
      <c r="A56" s="19" t="s">
        <v>68</v>
      </c>
    </row>
    <row r="57" spans="1:1" ht="16" x14ac:dyDescent="0.2">
      <c r="A57" s="18" t="s">
        <v>69</v>
      </c>
    </row>
    <row r="58" spans="1:1" ht="16" x14ac:dyDescent="0.2">
      <c r="A58" s="18" t="s">
        <v>74</v>
      </c>
    </row>
    <row r="59" spans="1:1" ht="16" x14ac:dyDescent="0.2">
      <c r="A59" s="21" t="s">
        <v>98</v>
      </c>
    </row>
    <row r="60" spans="1:1" ht="16" x14ac:dyDescent="0.2">
      <c r="A60" s="18" t="s">
        <v>99</v>
      </c>
    </row>
    <row r="61" spans="1:1" ht="16" x14ac:dyDescent="0.2">
      <c r="A61" s="19" t="s">
        <v>100</v>
      </c>
    </row>
    <row r="62" spans="1:1" ht="16" x14ac:dyDescent="0.2">
      <c r="A62" s="20" t="s">
        <v>72</v>
      </c>
    </row>
    <row r="63" spans="1:1" ht="16" x14ac:dyDescent="0.2">
      <c r="A63" s="18" t="s">
        <v>66</v>
      </c>
    </row>
    <row r="64" spans="1:1" ht="16" x14ac:dyDescent="0.2">
      <c r="A64" s="19" t="s">
        <v>123</v>
      </c>
    </row>
    <row r="65" spans="1:1" ht="16" x14ac:dyDescent="0.2">
      <c r="A65" s="18" t="s">
        <v>124</v>
      </c>
    </row>
    <row r="66" spans="1:1" ht="16" x14ac:dyDescent="0.2">
      <c r="A66" s="18" t="s">
        <v>74</v>
      </c>
    </row>
    <row r="67" spans="1:1" ht="16" x14ac:dyDescent="0.2">
      <c r="A67" s="21" t="s">
        <v>75</v>
      </c>
    </row>
    <row r="68" spans="1:1" ht="16" x14ac:dyDescent="0.2">
      <c r="A68" s="18" t="s">
        <v>76</v>
      </c>
    </row>
    <row r="69" spans="1:1" ht="16" x14ac:dyDescent="0.2">
      <c r="A69" s="19" t="s">
        <v>77</v>
      </c>
    </row>
    <row r="70" spans="1:1" ht="16" x14ac:dyDescent="0.2">
      <c r="A70" s="18" t="s">
        <v>102</v>
      </c>
    </row>
    <row r="71" spans="1:1" ht="16" x14ac:dyDescent="0.2">
      <c r="A71" s="19" t="s">
        <v>103</v>
      </c>
    </row>
    <row r="72" spans="1:1" ht="16" x14ac:dyDescent="0.2">
      <c r="A72" s="18" t="s">
        <v>79</v>
      </c>
    </row>
    <row r="73" spans="1:1" ht="16" x14ac:dyDescent="0.2">
      <c r="A73" s="18" t="s">
        <v>80</v>
      </c>
    </row>
    <row r="74" spans="1:1" ht="16" x14ac:dyDescent="0.2">
      <c r="A74" s="18" t="s">
        <v>99</v>
      </c>
    </row>
    <row r="75" spans="1:1" ht="16" x14ac:dyDescent="0.2">
      <c r="A75" s="19" t="s">
        <v>125</v>
      </c>
    </row>
    <row r="76" spans="1:1" ht="16" x14ac:dyDescent="0.2">
      <c r="A76" s="18" t="s">
        <v>81</v>
      </c>
    </row>
    <row r="77" spans="1:1" ht="16" x14ac:dyDescent="0.2">
      <c r="A77" s="19" t="s">
        <v>138</v>
      </c>
    </row>
    <row r="78" spans="1:1" ht="16" x14ac:dyDescent="0.2">
      <c r="A78" s="18" t="s">
        <v>126</v>
      </c>
    </row>
    <row r="80" spans="1:1" ht="16" x14ac:dyDescent="0.2">
      <c r="A80" s="55" t="s">
        <v>127</v>
      </c>
    </row>
    <row r="81" spans="1:1" ht="16" x14ac:dyDescent="0.2">
      <c r="A81" s="18" t="s">
        <v>65</v>
      </c>
    </row>
    <row r="82" spans="1:1" ht="16" x14ac:dyDescent="0.2">
      <c r="A82" s="18" t="s">
        <v>66</v>
      </c>
    </row>
    <row r="83" spans="1:1" ht="16" x14ac:dyDescent="0.2">
      <c r="A83" s="19" t="s">
        <v>67</v>
      </c>
    </row>
    <row r="84" spans="1:1" ht="16" x14ac:dyDescent="0.2">
      <c r="A84" s="19" t="s">
        <v>68</v>
      </c>
    </row>
    <row r="85" spans="1:1" ht="16" x14ac:dyDescent="0.2">
      <c r="A85" s="18" t="s">
        <v>69</v>
      </c>
    </row>
    <row r="86" spans="1:1" ht="16" x14ac:dyDescent="0.2">
      <c r="A86" s="18" t="s">
        <v>74</v>
      </c>
    </row>
    <row r="87" spans="1:1" ht="16" x14ac:dyDescent="0.2">
      <c r="A87" s="21" t="s">
        <v>98</v>
      </c>
    </row>
    <row r="88" spans="1:1" ht="16" x14ac:dyDescent="0.2">
      <c r="A88" s="18" t="s">
        <v>128</v>
      </c>
    </row>
    <row r="89" spans="1:1" ht="16" x14ac:dyDescent="0.2">
      <c r="A89" s="19" t="s">
        <v>129</v>
      </c>
    </row>
    <row r="90" spans="1:1" ht="16" x14ac:dyDescent="0.2">
      <c r="A90" s="18" t="s">
        <v>99</v>
      </c>
    </row>
    <row r="91" spans="1:1" ht="16" x14ac:dyDescent="0.2">
      <c r="A91" s="19" t="s">
        <v>100</v>
      </c>
    </row>
    <row r="92" spans="1:1" ht="16" x14ac:dyDescent="0.2">
      <c r="A92" s="20" t="s">
        <v>72</v>
      </c>
    </row>
    <row r="93" spans="1:1" ht="16" x14ac:dyDescent="0.2">
      <c r="A93" s="18" t="s">
        <v>66</v>
      </c>
    </row>
    <row r="94" spans="1:1" ht="16" x14ac:dyDescent="0.2">
      <c r="A94" s="19" t="s">
        <v>130</v>
      </c>
    </row>
    <row r="95" spans="1:1" ht="16" x14ac:dyDescent="0.2">
      <c r="A95" s="18" t="s">
        <v>131</v>
      </c>
    </row>
    <row r="96" spans="1:1" ht="16" x14ac:dyDescent="0.2">
      <c r="A96" s="18" t="s">
        <v>132</v>
      </c>
    </row>
    <row r="97" spans="1:1" ht="16" x14ac:dyDescent="0.2">
      <c r="A97" s="18" t="s">
        <v>133</v>
      </c>
    </row>
    <row r="98" spans="1:1" ht="16" x14ac:dyDescent="0.2">
      <c r="A98" s="18" t="s">
        <v>134</v>
      </c>
    </row>
    <row r="99" spans="1:1" ht="16" x14ac:dyDescent="0.2">
      <c r="A99" s="18" t="s">
        <v>74</v>
      </c>
    </row>
    <row r="100" spans="1:1" ht="16" x14ac:dyDescent="0.2">
      <c r="A100" s="21" t="s">
        <v>75</v>
      </c>
    </row>
    <row r="101" spans="1:1" ht="16" x14ac:dyDescent="0.2">
      <c r="A101" s="18" t="s">
        <v>76</v>
      </c>
    </row>
    <row r="102" spans="1:1" ht="16" x14ac:dyDescent="0.2">
      <c r="A102" s="19" t="s">
        <v>77</v>
      </c>
    </row>
    <row r="103" spans="1:1" ht="16" x14ac:dyDescent="0.2">
      <c r="A103" s="18" t="s">
        <v>102</v>
      </c>
    </row>
    <row r="104" spans="1:1" ht="16" x14ac:dyDescent="0.2">
      <c r="A104" s="19" t="s">
        <v>103</v>
      </c>
    </row>
    <row r="105" spans="1:1" ht="16" x14ac:dyDescent="0.2">
      <c r="A105" s="18" t="s">
        <v>79</v>
      </c>
    </row>
    <row r="106" spans="1:1" ht="16" x14ac:dyDescent="0.2">
      <c r="A106" s="18" t="s">
        <v>80</v>
      </c>
    </row>
    <row r="107" spans="1:1" ht="16" x14ac:dyDescent="0.2">
      <c r="A107" s="18" t="s">
        <v>135</v>
      </c>
    </row>
    <row r="108" spans="1:1" ht="16" x14ac:dyDescent="0.2">
      <c r="A108" s="19" t="s">
        <v>136</v>
      </c>
    </row>
    <row r="109" spans="1:1" ht="16" x14ac:dyDescent="0.2">
      <c r="A109" s="18" t="s">
        <v>99</v>
      </c>
    </row>
    <row r="110" spans="1:1" ht="16" x14ac:dyDescent="0.2">
      <c r="A110" s="19" t="s">
        <v>137</v>
      </c>
    </row>
    <row r="111" spans="1:1" ht="16" x14ac:dyDescent="0.2">
      <c r="A111" s="18" t="s">
        <v>81</v>
      </c>
    </row>
    <row r="112" spans="1:1" ht="16" x14ac:dyDescent="0.2">
      <c r="A112" s="19" t="s">
        <v>121</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Graded Task</vt:lpstr>
      <vt:lpstr>Funnel Overview</vt:lpstr>
      <vt:lpstr>Extra</vt:lpstr>
      <vt:lpstr>Queries used</vt:lpstr>
      <vt:lpstr>'Funnel Overview'!Print_Area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Ruta Spaicyte (rs5u19)</cp:lastModifiedBy>
  <cp:lastPrinted>2024-08-22T06:44:17Z</cp:lastPrinted>
  <dcterms:created xsi:type="dcterms:W3CDTF">2024-08-21T20:51:30Z</dcterms:created>
  <dcterms:modified xsi:type="dcterms:W3CDTF">2025-05-01T16:20:44Z</dcterms:modified>
</cp:coreProperties>
</file>