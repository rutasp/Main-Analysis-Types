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ta/Downloads/"/>
    </mc:Choice>
  </mc:AlternateContent>
  <xr:revisionPtr revIDLastSave="0" documentId="13_ncr:1_{75FC7FCF-31DB-944C-A1AD-8C11F2E1F5C2}" xr6:coauthVersionLast="47" xr6:coauthVersionMax="47" xr10:uidLastSave="{00000000-0000-0000-0000-000000000000}"/>
  <bookViews>
    <workbookView xWindow="0" yWindow="0" windowWidth="28800" windowHeight="18000" activeTab="4" xr2:uid="{90CCF5FC-AB8E-024F-955E-67901A7D9802}"/>
  </bookViews>
  <sheets>
    <sheet name="RFM SQL code" sheetId="3" r:id="rId1"/>
    <sheet name="RFM_scores" sheetId="4" r:id="rId2"/>
    <sheet name="RFM_segmentation" sheetId="6" state="hidden" r:id="rId3"/>
    <sheet name="CLV SQL queries" sheetId="5" r:id="rId4"/>
    <sheet name="CLV outpu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2" l="1"/>
  <c r="D30" i="2"/>
  <c r="D34" i="2"/>
  <c r="D36" i="2"/>
  <c r="D37" i="2"/>
  <c r="C27" i="2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C28" i="2"/>
  <c r="C29" i="2"/>
  <c r="D29" i="2" s="1"/>
  <c r="C30" i="2"/>
  <c r="C31" i="2"/>
  <c r="D31" i="2" s="1"/>
  <c r="C32" i="2"/>
  <c r="C33" i="2"/>
  <c r="C34" i="2"/>
  <c r="C35" i="2"/>
  <c r="D35" i="2" s="1"/>
  <c r="C36" i="2"/>
  <c r="E36" i="2"/>
  <c r="C37" i="2"/>
  <c r="C38" i="2"/>
  <c r="C26" i="2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E19" i="2"/>
  <c r="F19" i="2"/>
  <c r="F20" i="2" s="1"/>
  <c r="G19" i="2"/>
  <c r="G20" i="2" s="1"/>
  <c r="H19" i="2"/>
  <c r="I19" i="2"/>
  <c r="I20" i="2" s="1"/>
  <c r="J19" i="2"/>
  <c r="K19" i="2"/>
  <c r="K20" i="2" s="1"/>
  <c r="L19" i="2"/>
  <c r="M19" i="2"/>
  <c r="M20" i="2" s="1"/>
  <c r="N19" i="2"/>
  <c r="O19" i="2"/>
  <c r="O20" i="2" s="1"/>
  <c r="C19" i="2"/>
  <c r="C40" i="2" s="1"/>
  <c r="E32" i="2" l="1"/>
  <c r="F32" i="2" s="1"/>
  <c r="G32" i="2" s="1"/>
  <c r="H32" i="2" s="1"/>
  <c r="I32" i="2" s="1"/>
  <c r="E28" i="2"/>
  <c r="F28" i="2" s="1"/>
  <c r="G28" i="2" s="1"/>
  <c r="H28" i="2" s="1"/>
  <c r="I28" i="2" s="1"/>
  <c r="J28" i="2" s="1"/>
  <c r="K28" i="2" s="1"/>
  <c r="L28" i="2" s="1"/>
  <c r="M28" i="2" s="1"/>
  <c r="D33" i="2"/>
  <c r="E33" i="2" s="1"/>
  <c r="F33" i="2" s="1"/>
  <c r="G33" i="2" s="1"/>
  <c r="H33" i="2" s="1"/>
  <c r="D32" i="2"/>
  <c r="D28" i="2"/>
  <c r="N20" i="2"/>
  <c r="J20" i="2"/>
  <c r="E29" i="2"/>
  <c r="F29" i="2" s="1"/>
  <c r="G29" i="2" s="1"/>
  <c r="H29" i="2" s="1"/>
  <c r="I29" i="2" s="1"/>
  <c r="J29" i="2" s="1"/>
  <c r="K29" i="2" s="1"/>
  <c r="L29" i="2" s="1"/>
  <c r="E34" i="2"/>
  <c r="F34" i="2" s="1"/>
  <c r="G34" i="2" s="1"/>
  <c r="E30" i="2"/>
  <c r="F30" i="2" s="1"/>
  <c r="G30" i="2" s="1"/>
  <c r="H30" i="2" s="1"/>
  <c r="I30" i="2" s="1"/>
  <c r="J30" i="2" s="1"/>
  <c r="K30" i="2" s="1"/>
  <c r="E35" i="2"/>
  <c r="F35" i="2" s="1"/>
  <c r="E31" i="2"/>
  <c r="F31" i="2" s="1"/>
  <c r="G31" i="2" s="1"/>
  <c r="H31" i="2" s="1"/>
  <c r="I31" i="2" s="1"/>
  <c r="J31" i="2" s="1"/>
  <c r="L20" i="2"/>
  <c r="H20" i="2"/>
  <c r="D19" i="2" l="1"/>
  <c r="D20" i="2" s="1"/>
  <c r="D40" i="2" l="1"/>
  <c r="E20" i="2"/>
  <c r="E40" i="2" l="1"/>
  <c r="D41" i="2"/>
  <c r="D58" i="2" s="1"/>
  <c r="D60" i="2" l="1"/>
  <c r="D61" i="2" s="1"/>
  <c r="F40" i="2"/>
  <c r="E41" i="2"/>
  <c r="E57" i="2" s="1"/>
  <c r="E58" i="2" l="1"/>
  <c r="F41" i="2"/>
  <c r="F56" i="2" s="1"/>
  <c r="G40" i="2"/>
  <c r="F58" i="2" l="1"/>
  <c r="F57" i="2"/>
  <c r="G57" i="2" s="1"/>
  <c r="E60" i="2"/>
  <c r="E61" i="2" s="1"/>
  <c r="H40" i="2"/>
  <c r="G41" i="2"/>
  <c r="G55" i="2" s="1"/>
  <c r="G56" i="2" l="1"/>
  <c r="G58" i="2"/>
  <c r="F60" i="2"/>
  <c r="F61" i="2" s="1"/>
  <c r="H41" i="2"/>
  <c r="H54" i="2" s="1"/>
  <c r="I40" i="2"/>
  <c r="H58" i="2" l="1"/>
  <c r="H57" i="2"/>
  <c r="H56" i="2"/>
  <c r="H55" i="2"/>
  <c r="G60" i="2"/>
  <c r="G61" i="2" s="1"/>
  <c r="I41" i="2"/>
  <c r="I53" i="2" s="1"/>
  <c r="J40" i="2"/>
  <c r="I58" i="2" l="1"/>
  <c r="I56" i="2"/>
  <c r="H60" i="2"/>
  <c r="H61" i="2" s="1"/>
  <c r="I57" i="2"/>
  <c r="J57" i="2" s="1"/>
  <c r="I55" i="2"/>
  <c r="I54" i="2"/>
  <c r="J54" i="2"/>
  <c r="J55" i="2"/>
  <c r="K40" i="2"/>
  <c r="J41" i="2"/>
  <c r="J52" i="2" s="1"/>
  <c r="J58" i="2" l="1"/>
  <c r="I60" i="2"/>
  <c r="I61" i="2" s="1"/>
  <c r="J53" i="2"/>
  <c r="J56" i="2"/>
  <c r="L40" i="2"/>
  <c r="K41" i="2"/>
  <c r="K51" i="2" s="1"/>
  <c r="K58" i="2" l="1"/>
  <c r="K57" i="2"/>
  <c r="K53" i="2"/>
  <c r="K56" i="2"/>
  <c r="K54" i="2"/>
  <c r="K52" i="2"/>
  <c r="J60" i="2"/>
  <c r="J61" i="2" s="1"/>
  <c r="K55" i="2"/>
  <c r="L41" i="2"/>
  <c r="L50" i="2" s="1"/>
  <c r="M40" i="2"/>
  <c r="L52" i="2" l="1"/>
  <c r="L57" i="2"/>
  <c r="L54" i="2"/>
  <c r="L58" i="2"/>
  <c r="L51" i="2"/>
  <c r="L55" i="2"/>
  <c r="K60" i="2"/>
  <c r="K61" i="2" s="1"/>
  <c r="L56" i="2"/>
  <c r="L53" i="2"/>
  <c r="N40" i="2"/>
  <c r="M41" i="2"/>
  <c r="M49" i="2" s="1"/>
  <c r="M58" i="2" l="1"/>
  <c r="M55" i="2"/>
  <c r="M53" i="2"/>
  <c r="M57" i="2"/>
  <c r="M50" i="2"/>
  <c r="L60" i="2"/>
  <c r="L61" i="2" s="1"/>
  <c r="M54" i="2"/>
  <c r="M56" i="2"/>
  <c r="M51" i="2"/>
  <c r="M52" i="2"/>
  <c r="O40" i="2"/>
  <c r="O41" i="2" s="1"/>
  <c r="O47" i="2" s="1"/>
  <c r="N41" i="2"/>
  <c r="N48" i="2" s="1"/>
  <c r="N52" i="2" l="1"/>
  <c r="O52" i="2" s="1"/>
  <c r="N53" i="2"/>
  <c r="O53" i="2" s="1"/>
  <c r="N57" i="2"/>
  <c r="N58" i="2"/>
  <c r="O58" i="2" s="1"/>
  <c r="N49" i="2"/>
  <c r="O49" i="2" s="1"/>
  <c r="N54" i="2"/>
  <c r="O54" i="2" s="1"/>
  <c r="O48" i="2"/>
  <c r="N56" i="2"/>
  <c r="O56" i="2" s="1"/>
  <c r="N55" i="2"/>
  <c r="O55" i="2" s="1"/>
  <c r="M60" i="2"/>
  <c r="M61" i="2" s="1"/>
  <c r="N51" i="2"/>
  <c r="O51" i="2" s="1"/>
  <c r="N50" i="2"/>
  <c r="O50" i="2" s="1"/>
  <c r="O57" i="2" l="1"/>
  <c r="O60" i="2" s="1"/>
  <c r="N60" i="2"/>
  <c r="N61" i="2" s="1"/>
  <c r="O61" i="2" l="1"/>
</calcChain>
</file>

<file path=xl/sharedStrings.xml><?xml version="1.0" encoding="utf-8"?>
<sst xmlns="http://schemas.openxmlformats.org/spreadsheetml/2006/main" count="458" uniqueCount="200">
  <si>
    <t>Weekly Average Revenue by Cohorts (USD)</t>
  </si>
  <si>
    <t>Average</t>
  </si>
  <si>
    <t>wk0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</si>
  <si>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</si>
  <si>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</si>
  <si>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</si>
  <si>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</si>
  <si>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</si>
  <si>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</si>
  <si>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</si>
  <si>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</si>
  <si>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</si>
  <si>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</si>
  <si>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</si>
  <si>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</si>
  <si>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Cumulative Revenue by Cohorts (USD)</t>
  </si>
  <si>
    <t>Cummulative Growth</t>
  </si>
  <si>
    <t>Revenue in n weeks after registration / Number of registrations</t>
  </si>
  <si>
    <t>Cummulative average</t>
  </si>
  <si>
    <t>Week start date</t>
  </si>
  <si>
    <r>
      <t>WITH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Table1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</si>
  <si>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t>-- Step 1: Calculate recency, frequency, and monetary value</t>
  </si>
  <si>
    <r>
      <t>SELECT</t>
    </r>
    <r>
      <rPr>
        <sz val="12"/>
        <color rgb="FF3A474E"/>
        <rFont val="Menlo"/>
        <family val="2"/>
      </rPr>
      <t xml:space="preserve"> </t>
    </r>
  </si>
  <si>
    <r>
      <t>CustomerID</t>
    </r>
    <r>
      <rPr>
        <sz val="12"/>
        <color rgb="FF3A474E"/>
        <rFont val="Menlo"/>
        <family val="2"/>
      </rPr>
      <t>,</t>
    </r>
  </si>
  <si>
    <r>
      <t>DATE_DIFF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DATE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'2011-12-01'</t>
    </r>
    <r>
      <rPr>
        <sz val="12"/>
        <color rgb="FF3A474E"/>
        <rFont val="Menlo"/>
        <family val="2"/>
      </rPr>
      <t xml:space="preserve">, </t>
    </r>
    <r>
      <rPr>
        <sz val="12"/>
        <color rgb="FF3367D6"/>
        <rFont val="Menlo"/>
        <family val="2"/>
      </rPr>
      <t>CAST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MAX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InvoiceDate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DAY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recency</t>
    </r>
    <r>
      <rPr>
        <sz val="12"/>
        <color rgb="FF3A474E"/>
        <rFont val="Menlo"/>
        <family val="2"/>
      </rPr>
      <t xml:space="preserve">, </t>
    </r>
    <r>
      <rPr>
        <sz val="12"/>
        <color rgb="FFD81B60"/>
        <rFont val="Menlo"/>
        <family val="2"/>
      </rPr>
      <t>-- Can be adjusted dynamically</t>
    </r>
  </si>
  <si>
    <r>
      <t>COUNT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DISTINCT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InvoiceNo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frequency</t>
    </r>
    <r>
      <rPr>
        <sz val="12"/>
        <color rgb="FF3A474E"/>
        <rFont val="Menlo"/>
        <family val="2"/>
      </rPr>
      <t>,</t>
    </r>
  </si>
  <si>
    <r>
      <t>SUM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UnitPrice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*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Quantity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monetary</t>
    </r>
  </si>
  <si>
    <r>
      <t>FROM</t>
    </r>
    <r>
      <rPr>
        <sz val="12"/>
        <color rgb="FF3A474E"/>
        <rFont val="Menlo"/>
        <family val="2"/>
      </rPr>
      <t xml:space="preserve"> </t>
    </r>
  </si>
  <si>
    <r>
      <t>`tc-da-1.turing_data_analytics.rfm`</t>
    </r>
    <r>
      <rPr>
        <sz val="12"/>
        <color rgb="FF3A474E"/>
        <rFont val="Menlo"/>
        <family val="2"/>
      </rPr>
      <t xml:space="preserve"> </t>
    </r>
  </si>
  <si>
    <r>
      <t>WHERE</t>
    </r>
    <r>
      <rPr>
        <sz val="12"/>
        <color rgb="FF3A474E"/>
        <rFont val="Menlo"/>
        <family val="2"/>
      </rPr>
      <t xml:space="preserve"> </t>
    </r>
  </si>
  <si>
    <r>
      <t>InvoiceDate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BETWEEN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'2010-12-01'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AND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'2011-12-02'</t>
    </r>
    <r>
      <rPr>
        <sz val="12"/>
        <color rgb="FF3A474E"/>
        <rFont val="Menlo"/>
        <family val="2"/>
      </rPr>
      <t xml:space="preserve"> </t>
    </r>
  </si>
  <si>
    <r>
      <t>AND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Quantity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0</t>
    </r>
    <r>
      <rPr>
        <sz val="12"/>
        <color rgb="FF3A474E"/>
        <rFont val="Menlo"/>
        <family val="2"/>
      </rPr>
      <t xml:space="preserve"> </t>
    </r>
  </si>
  <si>
    <r>
      <t>AND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UnitPrice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0</t>
    </r>
    <r>
      <rPr>
        <sz val="12"/>
        <color rgb="FF3A474E"/>
        <rFont val="Menlo"/>
        <family val="2"/>
      </rPr>
      <t xml:space="preserve"> </t>
    </r>
  </si>
  <si>
    <r>
      <t>AND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CustomerID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IS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NOT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</si>
  <si>
    <r>
      <t>GROUP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BY</t>
    </r>
    <r>
      <rPr>
        <sz val="12"/>
        <color rgb="FF3A474E"/>
        <rFont val="Menlo"/>
        <family val="2"/>
      </rPr>
      <t xml:space="preserve"> </t>
    </r>
  </si>
  <si>
    <t>CustomerID</t>
  </si>
  <si>
    <r>
      <t>)</t>
    </r>
    <r>
      <rPr>
        <sz val="12"/>
        <color rgb="FF3A474E"/>
        <rFont val="Menlo"/>
        <family val="2"/>
      </rPr>
      <t>,</t>
    </r>
  </si>
  <si>
    <r>
      <t>Quantiles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</si>
  <si>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t>-- Step 2: Calculate quartiles for recency, frequency, and monetary values</t>
  </si>
  <si>
    <r>
      <t>APPROX_QUANTILES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recency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4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recency_quantiles</t>
    </r>
    <r>
      <rPr>
        <sz val="12"/>
        <color rgb="FF3A474E"/>
        <rFont val="Menlo"/>
        <family val="2"/>
      </rPr>
      <t>,</t>
    </r>
  </si>
  <si>
    <r>
      <t>APPROX_QUANTILES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frequency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4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frequency_quantiles</t>
    </r>
    <r>
      <rPr>
        <sz val="12"/>
        <color rgb="FF3A474E"/>
        <rFont val="Menlo"/>
        <family val="2"/>
      </rPr>
      <t>,</t>
    </r>
  </si>
  <si>
    <r>
      <t>APPROX_QUANTILES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monetary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4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monetary_quantiles</t>
    </r>
  </si>
  <si>
    <t>Table1</t>
  </si>
  <si>
    <r>
      <t>Table2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</si>
  <si>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t>-- Step 3: Assign R, F, and M scores based on quartiles</t>
  </si>
  <si>
    <r>
      <t>t1.CustomerID</t>
    </r>
    <r>
      <rPr>
        <sz val="12"/>
        <color rgb="FF3A474E"/>
        <rFont val="Menlo"/>
        <family val="2"/>
      </rPr>
      <t>,</t>
    </r>
  </si>
  <si>
    <r>
      <t>t1.recency</t>
    </r>
    <r>
      <rPr>
        <sz val="12"/>
        <color rgb="FF3A474E"/>
        <rFont val="Menlo"/>
        <family val="2"/>
      </rPr>
      <t>,</t>
    </r>
  </si>
  <si>
    <r>
      <t>t1.frequency</t>
    </r>
    <r>
      <rPr>
        <sz val="12"/>
        <color rgb="FF3A474E"/>
        <rFont val="Menlo"/>
        <family val="2"/>
      </rPr>
      <t>,</t>
    </r>
  </si>
  <si>
    <r>
      <t>t1.monetary</t>
    </r>
    <r>
      <rPr>
        <sz val="12"/>
        <color rgb="FF3A474E"/>
        <rFont val="Menlo"/>
        <family val="2"/>
      </rPr>
      <t>,</t>
    </r>
  </si>
  <si>
    <t>-- Assign R score (1-4) based on recency quartiles; note lower recency means higher score</t>
  </si>
  <si>
    <r>
      <t>CASE</t>
    </r>
    <r>
      <rPr>
        <sz val="12"/>
        <color rgb="FF3A474E"/>
        <rFont val="Menlo"/>
        <family val="2"/>
      </rPr>
      <t xml:space="preserve"> </t>
    </r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</si>
  <si>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t1.recency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&lt;=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SELECT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recency_quantiles</t>
    </r>
    <r>
      <rPr>
        <sz val="12"/>
        <color rgb="FF37474F"/>
        <rFont val="Menlo"/>
        <family val="2"/>
      </rPr>
      <t>[</t>
    </r>
    <r>
      <rPr>
        <sz val="12"/>
        <color rgb="FF3367D6"/>
        <rFont val="Menlo"/>
        <family val="2"/>
      </rPr>
      <t>OFFSET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1</t>
    </r>
    <r>
      <rPr>
        <sz val="12"/>
        <color rgb="FF37474F"/>
        <rFont val="Menlo"/>
        <family val="2"/>
      </rPr>
      <t>)]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FROM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Quantiles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4</t>
    </r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</si>
  <si>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t1.recency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&lt;=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SELECT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recency_quantiles</t>
    </r>
    <r>
      <rPr>
        <sz val="12"/>
        <color rgb="FF37474F"/>
        <rFont val="Menlo"/>
        <family val="2"/>
      </rPr>
      <t>[</t>
    </r>
    <r>
      <rPr>
        <sz val="12"/>
        <color rgb="FF3367D6"/>
        <rFont val="Menlo"/>
        <family val="2"/>
      </rPr>
      <t>OFFSET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2</t>
    </r>
    <r>
      <rPr>
        <sz val="12"/>
        <color rgb="FF37474F"/>
        <rFont val="Menlo"/>
        <family val="2"/>
      </rPr>
      <t>)]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FROM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Quantiles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3</t>
    </r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</si>
  <si>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t1.recency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&lt;=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SELECT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recency_quantiles</t>
    </r>
    <r>
      <rPr>
        <sz val="12"/>
        <color rgb="FF37474F"/>
        <rFont val="Menlo"/>
        <family val="2"/>
      </rPr>
      <t>[</t>
    </r>
    <r>
      <rPr>
        <sz val="12"/>
        <color rgb="FF3367D6"/>
        <rFont val="Menlo"/>
        <family val="2"/>
      </rPr>
      <t>OFFSET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3</t>
    </r>
    <r>
      <rPr>
        <sz val="12"/>
        <color rgb="FF37474F"/>
        <rFont val="Menlo"/>
        <family val="2"/>
      </rPr>
      <t>)]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FROM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Quantiles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2</t>
    </r>
  </si>
  <si>
    <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1</t>
    </r>
  </si>
  <si>
    <r>
      <t>END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R_score</t>
    </r>
    <r>
      <rPr>
        <sz val="12"/>
        <color rgb="FF3A474E"/>
        <rFont val="Menlo"/>
        <family val="2"/>
      </rPr>
      <t>,</t>
    </r>
  </si>
  <si>
    <t>-- Assign F score (1-4) based on frequency quartiles; higher frequency means higher score</t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</si>
  <si>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t1.frequency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&gt;=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SELECT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frequency_quantiles</t>
    </r>
    <r>
      <rPr>
        <sz val="12"/>
        <color rgb="FF37474F"/>
        <rFont val="Menlo"/>
        <family val="2"/>
      </rPr>
      <t>[</t>
    </r>
    <r>
      <rPr>
        <sz val="12"/>
        <color rgb="FF3367D6"/>
        <rFont val="Menlo"/>
        <family val="2"/>
      </rPr>
      <t>OFFSET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3</t>
    </r>
    <r>
      <rPr>
        <sz val="12"/>
        <color rgb="FF37474F"/>
        <rFont val="Menlo"/>
        <family val="2"/>
      </rPr>
      <t>)]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FROM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Quantiles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4</t>
    </r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</si>
  <si>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t1.frequency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&gt;=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SELECT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frequency_quantiles</t>
    </r>
    <r>
      <rPr>
        <sz val="12"/>
        <color rgb="FF37474F"/>
        <rFont val="Menlo"/>
        <family val="2"/>
      </rPr>
      <t>[</t>
    </r>
    <r>
      <rPr>
        <sz val="12"/>
        <color rgb="FF3367D6"/>
        <rFont val="Menlo"/>
        <family val="2"/>
      </rPr>
      <t>OFFSET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2</t>
    </r>
    <r>
      <rPr>
        <sz val="12"/>
        <color rgb="FF37474F"/>
        <rFont val="Menlo"/>
        <family val="2"/>
      </rPr>
      <t>)]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FROM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Quantiles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3</t>
    </r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</si>
  <si>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t1.frequency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&gt;=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SELECT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frequency_quantiles</t>
    </r>
    <r>
      <rPr>
        <sz val="12"/>
        <color rgb="FF37474F"/>
        <rFont val="Menlo"/>
        <family val="2"/>
      </rPr>
      <t>[</t>
    </r>
    <r>
      <rPr>
        <sz val="12"/>
        <color rgb="FF3367D6"/>
        <rFont val="Menlo"/>
        <family val="2"/>
      </rPr>
      <t>OFFSET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1</t>
    </r>
    <r>
      <rPr>
        <sz val="12"/>
        <color rgb="FF37474F"/>
        <rFont val="Menlo"/>
        <family val="2"/>
      </rPr>
      <t>)]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FROM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Quantiles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2</t>
    </r>
  </si>
  <si>
    <r>
      <t>END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F_score</t>
    </r>
    <r>
      <rPr>
        <sz val="12"/>
        <color rgb="FF3A474E"/>
        <rFont val="Menlo"/>
        <family val="2"/>
      </rPr>
      <t>,</t>
    </r>
  </si>
  <si>
    <t>-- Assign M score (1-4) based on monetary quartiles; higher monetary value means higher score</t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</si>
  <si>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t1.monetary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&gt;=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SELECT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monetary_quantiles</t>
    </r>
    <r>
      <rPr>
        <sz val="12"/>
        <color rgb="FF37474F"/>
        <rFont val="Menlo"/>
        <family val="2"/>
      </rPr>
      <t>[</t>
    </r>
    <r>
      <rPr>
        <sz val="12"/>
        <color rgb="FF3367D6"/>
        <rFont val="Menlo"/>
        <family val="2"/>
      </rPr>
      <t>OFFSET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3</t>
    </r>
    <r>
      <rPr>
        <sz val="12"/>
        <color rgb="FF37474F"/>
        <rFont val="Menlo"/>
        <family val="2"/>
      </rPr>
      <t>)]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FROM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Quantiles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4</t>
    </r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</si>
  <si>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t1.monetary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&gt;=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SELECT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monetary_quantiles</t>
    </r>
    <r>
      <rPr>
        <sz val="12"/>
        <color rgb="FF37474F"/>
        <rFont val="Menlo"/>
        <family val="2"/>
      </rPr>
      <t>[</t>
    </r>
    <r>
      <rPr>
        <sz val="12"/>
        <color rgb="FF3367D6"/>
        <rFont val="Menlo"/>
        <family val="2"/>
      </rPr>
      <t>OFFSET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2</t>
    </r>
    <r>
      <rPr>
        <sz val="12"/>
        <color rgb="FF37474F"/>
        <rFont val="Menlo"/>
        <family val="2"/>
      </rPr>
      <t>)]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FROM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Quantiles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3</t>
    </r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</si>
  <si>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t1.monetary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&gt;=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SELECT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monetary_quantiles</t>
    </r>
    <r>
      <rPr>
        <sz val="12"/>
        <color rgb="FF37474F"/>
        <rFont val="Menlo"/>
        <family val="2"/>
      </rPr>
      <t>[</t>
    </r>
    <r>
      <rPr>
        <sz val="12"/>
        <color rgb="FF3367D6"/>
        <rFont val="Menlo"/>
        <family val="2"/>
      </rPr>
      <t>OFFSET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1</t>
    </r>
    <r>
      <rPr>
        <sz val="12"/>
        <color rgb="FF37474F"/>
        <rFont val="Menlo"/>
        <family val="2"/>
      </rPr>
      <t>)]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FROM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Quantiles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2</t>
    </r>
  </si>
  <si>
    <r>
      <t>END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M_score</t>
    </r>
  </si>
  <si>
    <r>
      <t>Table1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t1</t>
    </r>
  </si>
  <si>
    <r>
      <t>Table3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</si>
  <si>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t>-- Step 4: Calculate RFM score and count customers for each RFM score</t>
  </si>
  <si>
    <r>
      <t>CONCAT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CAST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R_score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STRING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, </t>
    </r>
    <r>
      <rPr>
        <sz val="12"/>
        <color rgb="FF3367D6"/>
        <rFont val="Menlo"/>
        <family val="2"/>
      </rPr>
      <t>CAST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F_score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STRING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, </t>
    </r>
    <r>
      <rPr>
        <sz val="12"/>
        <color rgb="FF3367D6"/>
        <rFont val="Menlo"/>
        <family val="2"/>
      </rPr>
      <t>CAST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M_score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STRING</t>
    </r>
    <r>
      <rPr>
        <sz val="12"/>
        <color rgb="FF37474F"/>
        <rFont val="Menlo"/>
        <family val="2"/>
      </rPr>
      <t>))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RFM_score</t>
    </r>
    <r>
      <rPr>
        <sz val="12"/>
        <color rgb="FF3A474E"/>
        <rFont val="Menlo"/>
        <family val="2"/>
      </rPr>
      <t>,</t>
    </r>
  </si>
  <si>
    <r>
      <t>COUNT</t>
    </r>
    <r>
      <rPr>
        <sz val="12"/>
        <color rgb="FF37474F"/>
        <rFont val="Menlo"/>
        <family val="2"/>
      </rPr>
      <t>(*)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CustomerCount</t>
    </r>
  </si>
  <si>
    <t>Table2</t>
  </si>
  <si>
    <t>RFM_score</t>
  </si>
  <si>
    <t>)</t>
  </si>
  <si>
    <t>-- Final selection</t>
  </si>
  <si>
    <r>
      <t>RFM_score</t>
    </r>
    <r>
      <rPr>
        <sz val="12"/>
        <color rgb="FF3A474E"/>
        <rFont val="Menlo"/>
        <family val="2"/>
      </rPr>
      <t>,</t>
    </r>
  </si>
  <si>
    <t>CustomerCount</t>
  </si>
  <si>
    <t>Table3</t>
  </si>
  <si>
    <r>
      <t>ORDER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BY</t>
    </r>
    <r>
      <rPr>
        <sz val="12"/>
        <color rgb="FF3A474E"/>
        <rFont val="Menlo"/>
        <family val="2"/>
      </rPr>
      <t xml:space="preserve"> </t>
    </r>
  </si>
  <si>
    <r>
      <t>t2.CustomerID</t>
    </r>
    <r>
      <rPr>
        <sz val="12"/>
        <color rgb="FF3A474E"/>
        <rFont val="Menlo"/>
        <family val="2"/>
      </rPr>
      <t>,</t>
    </r>
  </si>
  <si>
    <r>
      <t>R_score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F_score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M_score</t>
    </r>
  </si>
  <si>
    <r>
      <t>Table2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t2</t>
    </r>
  </si>
  <si>
    <r>
      <t>Segments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</si>
  <si>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t>-- Step 5: Segment customers based on RFM scores</t>
  </si>
  <si>
    <t>-- Assign customer segments based on R, F, and M scores</t>
  </si>
  <si>
    <t>-- Best Customers: High R, F, and M scores</t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</si>
  <si>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R_score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4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AND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F_score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4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AND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M_score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4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'Best Customers'</t>
    </r>
  </si>
  <si>
    <t>-- Loyal Customers: High F, varying R and M</t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</si>
  <si>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F_score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&gt;=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3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AND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R_score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&gt;=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3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'Loyal Customers'</t>
    </r>
  </si>
  <si>
    <t>-- Big Spenders: High M, varying R and F</t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</si>
  <si>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M_score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&gt;=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3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'Big Spenders'</t>
    </r>
  </si>
  <si>
    <t>-- Lost Customers: Low R</t>
  </si>
  <si>
    <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R_score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1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'Lost Customers'</t>
    </r>
  </si>
  <si>
    <t>-- Others: Catch-all for the remaining categories</t>
  </si>
  <si>
    <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'Other Customers'</t>
    </r>
  </si>
  <si>
    <r>
      <t>END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CustomerSegment</t>
    </r>
  </si>
  <si>
    <r>
      <t>CustomerSegment</t>
    </r>
    <r>
      <rPr>
        <sz val="12"/>
        <color rgb="FF3A474E"/>
        <rFont val="Menlo"/>
        <family val="2"/>
      </rPr>
      <t>,</t>
    </r>
  </si>
  <si>
    <r>
      <t>COUNT</t>
    </r>
    <r>
      <rPr>
        <sz val="12"/>
        <color rgb="FF37474F"/>
        <rFont val="Menlo"/>
        <family val="2"/>
      </rPr>
      <t>(*)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TotalCustomers</t>
    </r>
  </si>
  <si>
    <t>Segments</t>
  </si>
  <si>
    <t>CustomerSegment</t>
  </si>
  <si>
    <r>
      <t>TotalCustomers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DESC</t>
    </r>
    <r>
      <rPr>
        <sz val="12"/>
        <color rgb="FF3A474E"/>
        <rFont val="Menlo"/>
        <family val="2"/>
      </rPr>
      <t>;</t>
    </r>
  </si>
  <si>
    <t>SEGMENTATION</t>
  </si>
  <si>
    <t>Loyal Customers</t>
  </si>
  <si>
    <t>Other Customers</t>
  </si>
  <si>
    <t>Lost Customers</t>
  </si>
  <si>
    <t>Big Spenders</t>
  </si>
  <si>
    <t>Best Customers</t>
  </si>
  <si>
    <t xml:space="preserve">RFM SCORE </t>
  </si>
  <si>
    <t>WITH</t>
  </si>
  <si>
    <t>-- Define the reference date for checking if a week has happened</t>
  </si>
  <si>
    <r>
      <t>reference_date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</si>
  <si>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SELECT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'2021-01-24'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ref_date</t>
    </r>
  </si>
  <si>
    <r>
      <t>UserActivity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</si>
  <si>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t>-- Step 1: Get all users, calculate total value if they made purchases, and find the first visit date</t>
  </si>
  <si>
    <r>
      <t>user_pseudo_id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customer_id</t>
    </r>
    <r>
      <rPr>
        <sz val="12"/>
        <color rgb="FF3A474E"/>
        <rFont val="Menlo"/>
        <family val="2"/>
      </rPr>
      <t>,</t>
    </r>
  </si>
  <si>
    <r>
      <t>MIN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PARSE_DATE</t>
    </r>
    <r>
      <rPr>
        <sz val="12"/>
        <color rgb="FF37474F"/>
        <rFont val="Menlo"/>
        <family val="2"/>
      </rPr>
      <t>(</t>
    </r>
    <r>
      <rPr>
        <sz val="12"/>
        <color rgb="FF0D904F"/>
        <rFont val="Menlo"/>
        <family val="2"/>
      </rPr>
      <t>'%Y%m%d'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event_date</t>
    </r>
    <r>
      <rPr>
        <sz val="12"/>
        <color rgb="FF37474F"/>
        <rFont val="Menlo"/>
        <family val="2"/>
      </rPr>
      <t>))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first_visit</t>
    </r>
    <r>
      <rPr>
        <sz val="12"/>
        <color rgb="FF3A474E"/>
        <rFont val="Menlo"/>
        <family val="2"/>
      </rPr>
      <t xml:space="preserve">, </t>
    </r>
    <r>
      <rPr>
        <sz val="12"/>
        <color rgb="FFD81B60"/>
        <rFont val="Menlo"/>
        <family val="2"/>
      </rPr>
      <t>-- Convert event_date from YYYYMMDD format to DATE</t>
    </r>
  </si>
  <si>
    <r>
      <t>SUM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purchase_revenue_in_usd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total_customer_revenue</t>
    </r>
  </si>
  <si>
    <t>`turing_data_analytics.raw_events`</t>
  </si>
  <si>
    <t>user_pseudo_id</t>
  </si>
  <si>
    <r>
      <t>Cohorts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</si>
  <si>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t>-- Step 2: Assign users to their respective cohort week based on their first visit</t>
  </si>
  <si>
    <r>
      <t>customer_id</t>
    </r>
    <r>
      <rPr>
        <sz val="12"/>
        <color rgb="FF3A474E"/>
        <rFont val="Menlo"/>
        <family val="2"/>
      </rPr>
      <t>,</t>
    </r>
  </si>
  <si>
    <t>-- Adjust cohort week to start on Sunday</t>
  </si>
  <si>
    <r>
      <t>DATE_TRUNC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first_visit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SUNDAY</t>
    </r>
    <r>
      <rPr>
        <sz val="12"/>
        <color rgb="FF37474F"/>
        <rFont val="Menlo"/>
        <family val="2"/>
      </rPr>
      <t>))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D81B60"/>
        <rFont val="Menlo"/>
        <family val="2"/>
      </rPr>
      <t>-- Cohort week of the user's first visit starts on Sunday</t>
    </r>
  </si>
  <si>
    <t>total_customer_revenue</t>
  </si>
  <si>
    <t>UserActivity</t>
  </si>
  <si>
    <r>
      <t>RevenueByWeek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</si>
  <si>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t>-- Step 3: Distribute revenue across 13 weeks from the cohort start</t>
  </si>
  <si>
    <r>
      <t>c.cohort_week</t>
    </r>
    <r>
      <rPr>
        <sz val="12"/>
        <color rgb="FF3A474E"/>
        <rFont val="Menlo"/>
        <family val="2"/>
      </rPr>
      <t>,</t>
    </r>
  </si>
  <si>
    <r>
      <t>week_offset</t>
    </r>
    <r>
      <rPr>
        <sz val="12"/>
        <color rgb="FF3A474E"/>
        <rFont val="Menlo"/>
        <family val="2"/>
      </rPr>
      <t>,</t>
    </r>
  </si>
  <si>
    <r>
      <t>DATE_ADD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c.cohort_week</t>
    </r>
    <r>
      <rPr>
        <sz val="12"/>
        <color rgb="FF3A474E"/>
        <rFont val="Menlo"/>
        <family val="2"/>
      </rPr>
      <t xml:space="preserve">,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week_offset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>,</t>
    </r>
  </si>
  <si>
    <r>
      <t>DATE_ADD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DATE_ADD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c.cohort_week</t>
    </r>
    <r>
      <rPr>
        <sz val="12"/>
        <color rgb="FF3A474E"/>
        <rFont val="Menlo"/>
        <family val="2"/>
      </rPr>
      <t xml:space="preserve">,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week_offset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,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6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week_end_date</t>
    </r>
    <r>
      <rPr>
        <sz val="12"/>
        <color rgb="FF3A474E"/>
        <rFont val="Menlo"/>
        <family val="2"/>
      </rPr>
      <t xml:space="preserve">, </t>
    </r>
    <r>
      <rPr>
        <sz val="12"/>
        <color rgb="FFD81B60"/>
        <rFont val="Menlo"/>
        <family val="2"/>
      </rPr>
      <t>-- Define the end of the week as 6 days after the start</t>
    </r>
  </si>
  <si>
    <r>
      <t>IFNULL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SUM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e.purchase_revenue_in_usd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, </t>
    </r>
    <r>
      <rPr>
        <sz val="12"/>
        <color rgb="FF3367D6"/>
        <rFont val="Menlo"/>
        <family val="2"/>
      </rPr>
      <t>NULL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revenue</t>
    </r>
    <r>
      <rPr>
        <sz val="12"/>
        <color rgb="FF3A474E"/>
        <rFont val="Menlo"/>
        <family val="2"/>
      </rPr>
      <t xml:space="preserve"> </t>
    </r>
    <r>
      <rPr>
        <sz val="12"/>
        <color rgb="FFD81B60"/>
        <rFont val="Menlo"/>
        <family val="2"/>
      </rPr>
      <t>-- Sum revenue per cohort week and customer</t>
    </r>
  </si>
  <si>
    <r>
      <t>Cohorts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</t>
    </r>
  </si>
  <si>
    <r>
      <t>CROSS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JOIN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UNNEST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GENERATE_ARRAY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0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12</t>
    </r>
    <r>
      <rPr>
        <sz val="12"/>
        <color rgb="FF37474F"/>
        <rFont val="Menlo"/>
        <family val="2"/>
      </rPr>
      <t>))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week_offset</t>
    </r>
    <r>
      <rPr>
        <sz val="12"/>
        <color rgb="FF3A474E"/>
        <rFont val="Menlo"/>
        <family val="2"/>
      </rPr>
      <t xml:space="preserve"> </t>
    </r>
    <r>
      <rPr>
        <sz val="12"/>
        <color rgb="FFD81B60"/>
        <rFont val="Menlo"/>
        <family val="2"/>
      </rPr>
      <t>-- Create 13 weeks range (wk0 to wk12)</t>
    </r>
  </si>
  <si>
    <r>
      <t>LEFT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JOIN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`turing_data_analytics.raw_events`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e</t>
    </r>
  </si>
  <si>
    <r>
      <t>ON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c.customer_id</t>
    </r>
    <r>
      <rPr>
        <sz val="12"/>
        <color rgb="FF3A474E"/>
        <rFont val="Menlo"/>
        <family val="2"/>
      </rPr>
      <t xml:space="preserve"> = </t>
    </r>
    <r>
      <rPr>
        <sz val="12"/>
        <color rgb="FF000000"/>
        <rFont val="Menlo"/>
        <family val="2"/>
      </rPr>
      <t>e.user_pseudo_id</t>
    </r>
  </si>
  <si>
    <r>
      <t>AND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PARSE_DATE</t>
    </r>
    <r>
      <rPr>
        <sz val="12"/>
        <color rgb="FF37474F"/>
        <rFont val="Menlo"/>
        <family val="2"/>
      </rPr>
      <t>(</t>
    </r>
    <r>
      <rPr>
        <sz val="12"/>
        <color rgb="FF0D904F"/>
        <rFont val="Menlo"/>
        <family val="2"/>
      </rPr>
      <t>'%Y%m%d'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e.event_date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BETWEEN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DATE_ADD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c.cohort_week</t>
    </r>
    <r>
      <rPr>
        <sz val="12"/>
        <color rgb="FF3A474E"/>
        <rFont val="Menlo"/>
        <family val="2"/>
      </rPr>
      <t xml:space="preserve">,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week_offset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</si>
  <si>
    <r>
      <t>AND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DATE_ADD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DATE_ADD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c.cohort_week</t>
    </r>
    <r>
      <rPr>
        <sz val="12"/>
        <color rgb="FF3A474E"/>
        <rFont val="Menlo"/>
        <family val="2"/>
      </rPr>
      <t xml:space="preserve">,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week_offset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,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6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D81B60"/>
        <rFont val="Menlo"/>
        <family val="2"/>
      </rPr>
      <t>-- Match events within each weekly interval</t>
    </r>
  </si>
  <si>
    <r>
      <t>c.cohort_week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week_offset</t>
    </r>
  </si>
  <si>
    <t>-- Filter out weeks that have not yet happened relative to the reference date</t>
  </si>
  <si>
    <r>
      <t>filtered_revenue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</si>
  <si>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r.cohort_week</t>
    </r>
    <r>
      <rPr>
        <sz val="12"/>
        <color rgb="FF3A474E"/>
        <rFont val="Menlo"/>
        <family val="2"/>
      </rPr>
      <t>,</t>
    </r>
  </si>
  <si>
    <r>
      <t>r.week_start_date</t>
    </r>
    <r>
      <rPr>
        <sz val="12"/>
        <color rgb="FF3A474E"/>
        <rFont val="Menlo"/>
        <family val="2"/>
      </rPr>
      <t>,</t>
    </r>
  </si>
  <si>
    <r>
      <t>r.week_end_date</t>
    </r>
    <r>
      <rPr>
        <sz val="12"/>
        <color rgb="FF3A474E"/>
        <rFont val="Menlo"/>
        <family val="2"/>
      </rPr>
      <t>,</t>
    </r>
  </si>
  <si>
    <t>r.revenue</t>
  </si>
  <si>
    <r>
      <t>RevenueByWeek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</t>
    </r>
  </si>
  <si>
    <r>
      <t>JOIN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reference_date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ref</t>
    </r>
  </si>
  <si>
    <r>
      <t>ON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r.week_start_date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&lt;=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ref.ref_date</t>
    </r>
    <r>
      <rPr>
        <sz val="12"/>
        <color rgb="FF3A474E"/>
        <rFont val="Menlo"/>
        <family val="2"/>
      </rPr>
      <t xml:space="preserve"> </t>
    </r>
    <r>
      <rPr>
        <sz val="12"/>
        <color rgb="FFD81B60"/>
        <rFont val="Menlo"/>
        <family val="2"/>
      </rPr>
      <t>-- Ensure only past weeks are included</t>
    </r>
  </si>
  <si>
    <t>-- Count the number of registrations per cohort week and week offset</t>
  </si>
  <si>
    <r>
      <t>UserRegistrationsByWeek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</si>
  <si>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COUNT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DISTINCT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c.customer_id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registrations</t>
    </r>
  </si>
  <si>
    <r>
      <t>CROSS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JOIN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UNNEST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GENERATE_ARRAY</t>
    </r>
    <r>
      <rPr>
        <sz val="12"/>
        <color rgb="FF37474F"/>
        <rFont val="Menlo"/>
        <family val="2"/>
      </rPr>
      <t>(</t>
    </r>
    <r>
      <rPr>
        <sz val="12"/>
        <color rgb="FFF4511E"/>
        <rFont val="Menlo"/>
        <family val="2"/>
      </rPr>
      <t>0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12</t>
    </r>
    <r>
      <rPr>
        <sz val="12"/>
        <color rgb="FF37474F"/>
        <rFont val="Menlo"/>
        <family val="2"/>
      </rPr>
      <t>))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week_offset</t>
    </r>
  </si>
  <si>
    <t>-- Calculate revenue per registration for each cohort week and offset</t>
  </si>
  <si>
    <r>
      <t>RevenuePerRegistration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</si>
  <si>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r.revenue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/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COALESCE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ur.registrations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1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revenue_per_registration</t>
    </r>
  </si>
  <si>
    <r>
      <t>LEFT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JOIN</t>
    </r>
    <r>
      <rPr>
        <sz val="12"/>
        <color rgb="FF3A474E"/>
        <rFont val="Menlo"/>
        <family val="2"/>
      </rPr>
      <t xml:space="preserve"> </t>
    </r>
  </si>
  <si>
    <r>
      <t>UserRegistrationsByWeek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ur</t>
    </r>
  </si>
  <si>
    <r>
      <t>ON</t>
    </r>
    <r>
      <rPr>
        <sz val="12"/>
        <color rgb="FF3A474E"/>
        <rFont val="Menlo"/>
        <family val="2"/>
      </rPr>
      <t xml:space="preserve"> </t>
    </r>
  </si>
  <si>
    <r>
      <t>r.cohort_week</t>
    </r>
    <r>
      <rPr>
        <sz val="12"/>
        <color rgb="FF3A474E"/>
        <rFont val="Menlo"/>
        <family val="2"/>
      </rPr>
      <t xml:space="preserve"> = </t>
    </r>
    <r>
      <rPr>
        <sz val="12"/>
        <color rgb="FF000000"/>
        <rFont val="Menlo"/>
        <family val="2"/>
      </rPr>
      <t>ur.cohort_week</t>
    </r>
    <r>
      <rPr>
        <sz val="12"/>
        <color rgb="FF3A474E"/>
        <rFont val="Menlo"/>
        <family val="2"/>
      </rPr>
      <t xml:space="preserve"> </t>
    </r>
  </si>
  <si>
    <r>
      <t>AND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r.week_start_date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r.cohort_week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000000"/>
        <rFont val="Menlo"/>
        <family val="2"/>
      </rPr>
      <t>ur.week_offset</t>
    </r>
  </si>
  <si>
    <t>-- Pivot revenue per registration into separate columns</t>
  </si>
  <si>
    <r>
      <t>WeeklyRevenuePerRegistrationPivot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</si>
  <si>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cohort_week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</si>
  <si>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0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wk0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</si>
  <si>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1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wk1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</si>
  <si>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2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wk2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</si>
  <si>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3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wk3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</si>
  <si>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4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wk4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</si>
  <si>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5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wk5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</si>
  <si>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6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wk6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</si>
  <si>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7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wk7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</si>
  <si>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8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wk8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</si>
  <si>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9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wk9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</si>
  <si>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10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wk10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</si>
  <si>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11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wk11</t>
    </r>
    <r>
      <rPr>
        <sz val="12"/>
        <color rgb="FF3A474E"/>
        <rFont val="Menlo"/>
        <family val="2"/>
      </rPr>
      <t>,</t>
    </r>
  </si>
  <si>
    <r>
      <t>MAX</t>
    </r>
    <r>
      <rPr>
        <sz val="12"/>
        <color rgb="FF37474F"/>
        <rFont val="Menlo"/>
        <family val="2"/>
      </rPr>
      <t>(</t>
    </r>
    <r>
      <rPr>
        <sz val="12"/>
        <color rgb="FF3367D6"/>
        <rFont val="Menlo"/>
        <family val="2"/>
      </rPr>
      <t>CASE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WHEN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DATE_DIFF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cohort_week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= </t>
    </r>
    <r>
      <rPr>
        <sz val="12"/>
        <color rgb="FFF4511E"/>
        <rFont val="Menlo"/>
        <family val="2"/>
      </rPr>
      <t>12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THEN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NULLIF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revenue_per_registration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ELSE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END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wk12</t>
    </r>
  </si>
  <si>
    <t>RevenuePerRegistration</t>
  </si>
  <si>
    <t>cohort_week</t>
  </si>
  <si>
    <t>-- Final Output: Display the cohort distribution with revenue per registration for each week offset (wk0 to wk12)</t>
  </si>
  <si>
    <r>
      <t>cohort_week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>,</t>
    </r>
  </si>
  <si>
    <r>
      <t>wk0</t>
    </r>
    <r>
      <rPr>
        <sz val="12"/>
        <color rgb="FF3A474E"/>
        <rFont val="Menlo"/>
        <family val="2"/>
      </rPr>
      <t>,</t>
    </r>
  </si>
  <si>
    <r>
      <t>wk1</t>
    </r>
    <r>
      <rPr>
        <sz val="12"/>
        <color rgb="FF3A474E"/>
        <rFont val="Menlo"/>
        <family val="2"/>
      </rPr>
      <t>,</t>
    </r>
  </si>
  <si>
    <r>
      <t>wk2</t>
    </r>
    <r>
      <rPr>
        <sz val="12"/>
        <color rgb="FF3A474E"/>
        <rFont val="Menlo"/>
        <family val="2"/>
      </rPr>
      <t>,</t>
    </r>
  </si>
  <si>
    <r>
      <t>wk3</t>
    </r>
    <r>
      <rPr>
        <sz val="12"/>
        <color rgb="FF3A474E"/>
        <rFont val="Menlo"/>
        <family val="2"/>
      </rPr>
      <t>,</t>
    </r>
  </si>
  <si>
    <r>
      <t>wk4</t>
    </r>
    <r>
      <rPr>
        <sz val="12"/>
        <color rgb="FF3A474E"/>
        <rFont val="Menlo"/>
        <family val="2"/>
      </rPr>
      <t>,</t>
    </r>
  </si>
  <si>
    <r>
      <t>wk5</t>
    </r>
    <r>
      <rPr>
        <sz val="12"/>
        <color rgb="FF3A474E"/>
        <rFont val="Menlo"/>
        <family val="2"/>
      </rPr>
      <t>,</t>
    </r>
  </si>
  <si>
    <r>
      <t>wk6</t>
    </r>
    <r>
      <rPr>
        <sz val="12"/>
        <color rgb="FF3A474E"/>
        <rFont val="Menlo"/>
        <family val="2"/>
      </rPr>
      <t>,</t>
    </r>
  </si>
  <si>
    <r>
      <t>wk7</t>
    </r>
    <r>
      <rPr>
        <sz val="12"/>
        <color rgb="FF3A474E"/>
        <rFont val="Menlo"/>
        <family val="2"/>
      </rPr>
      <t>,</t>
    </r>
  </si>
  <si>
    <r>
      <t>wk8</t>
    </r>
    <r>
      <rPr>
        <sz val="12"/>
        <color rgb="FF3A474E"/>
        <rFont val="Menlo"/>
        <family val="2"/>
      </rPr>
      <t>,</t>
    </r>
  </si>
  <si>
    <r>
      <t>wk9</t>
    </r>
    <r>
      <rPr>
        <sz val="12"/>
        <color rgb="FF3A474E"/>
        <rFont val="Menlo"/>
        <family val="2"/>
      </rPr>
      <t>,</t>
    </r>
  </si>
  <si>
    <r>
      <t>wk10</t>
    </r>
    <r>
      <rPr>
        <sz val="12"/>
        <color rgb="FF3A474E"/>
        <rFont val="Menlo"/>
        <family val="2"/>
      </rPr>
      <t>,</t>
    </r>
  </si>
  <si>
    <r>
      <t>wk11</t>
    </r>
    <r>
      <rPr>
        <sz val="12"/>
        <color rgb="FF3A474E"/>
        <rFont val="Menlo"/>
        <family val="2"/>
      </rPr>
      <t>,</t>
    </r>
  </si>
  <si>
    <t>WeeklyRevenuePerRegistrationPivot</t>
  </si>
  <si>
    <r>
      <t>cohort_week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&lt;=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</t>
    </r>
    <r>
      <rPr>
        <sz val="12"/>
        <color rgb="FF3A474E"/>
        <rFont val="Menlo"/>
        <family val="2"/>
      </rPr>
      <t xml:space="preserve"> </t>
    </r>
    <r>
      <rPr>
        <sz val="12"/>
        <color rgb="FF0D904F"/>
        <rFont val="Menlo"/>
        <family val="2"/>
      </rPr>
      <t>'2021-01-24'</t>
    </r>
  </si>
  <si>
    <r>
      <t>cohort_week</t>
    </r>
    <r>
      <rPr>
        <sz val="12"/>
        <color rgb="FF3A474E"/>
        <rFont val="Menlo"/>
        <family val="2"/>
      </rPr>
      <t>;</t>
    </r>
  </si>
  <si>
    <t>Weekly Average Revenue by Cohorts</t>
  </si>
  <si>
    <t>Forecast</t>
  </si>
  <si>
    <t>Gowth of revenue by registered users in cohort for n weeks after registration;</t>
  </si>
  <si>
    <t>Avg. cummulative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</si>
</sst>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0"/>
    <numFmt numFmtId="166" formatCode="&quot;$&quot;#,##0.00"/>
  </numFmts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HelveticaNowDisplay-Md"/>
    </font>
    <font>
      <sz val="12"/>
      <color rgb="FFC00000"/>
      <name val="Calibri"/>
      <family val="2"/>
      <scheme val="minor"/>
    </font>
    <font>
      <sz val="12"/>
      <color rgb="FF3A474E"/>
      <name val="Menlo"/>
      <family val="2"/>
    </font>
    <font>
      <sz val="12"/>
      <color rgb="FF3367D6"/>
      <name val="Menlo"/>
      <family val="2"/>
    </font>
    <font>
      <sz val="12"/>
      <color rgb="FF000000"/>
      <name val="Menlo"/>
      <family val="2"/>
    </font>
    <font>
      <sz val="12"/>
      <color rgb="FF37474F"/>
      <name val="Menlo"/>
      <family val="2"/>
    </font>
    <font>
      <sz val="12"/>
      <color rgb="FFD81B60"/>
      <name val="Menlo"/>
      <family val="2"/>
    </font>
    <font>
      <sz val="12"/>
      <color rgb="FF0D904F"/>
      <name val="Menlo"/>
      <family val="2"/>
    </font>
    <font>
      <sz val="12"/>
      <color rgb="FFF4511E"/>
      <name val="Menlo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5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11" fillId="0" borderId="0" xfId="0" applyFont="1"/>
    <xf numFmtId="0" fontId="12" fillId="0" borderId="0" xfId="0" applyFont="1"/>
    <xf numFmtId="0" fontId="2" fillId="2" borderId="0" xfId="0" applyFont="1" applyFill="1"/>
    <xf numFmtId="0" fontId="0" fillId="2" borderId="0" xfId="0" applyFill="1"/>
    <xf numFmtId="164" fontId="0" fillId="2" borderId="0" xfId="0" applyNumberFormat="1" applyFill="1"/>
    <xf numFmtId="166" fontId="0" fillId="2" borderId="0" xfId="0" applyNumberFormat="1" applyFill="1"/>
    <xf numFmtId="165" fontId="0" fillId="2" borderId="0" xfId="0" applyNumberFormat="1" applyFill="1"/>
    <xf numFmtId="9" fontId="0" fillId="2" borderId="0" xfId="1" applyFont="1" applyFill="1"/>
    <xf numFmtId="10" fontId="0" fillId="2" borderId="0" xfId="1" applyNumberFormat="1" applyFont="1" applyFill="1"/>
    <xf numFmtId="166" fontId="3" fillId="2" borderId="0" xfId="0" applyNumberFormat="1" applyFont="1" applyFill="1"/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RFM_scores!$B$1</c:f>
              <c:strCache>
                <c:ptCount val="1"/>
                <c:pt idx="0">
                  <c:v>CustomerCount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RFM_scores!$A$2:$A$49</c:f>
              <c:numCache>
                <c:formatCode>General</c:formatCode>
                <c:ptCount val="48"/>
                <c:pt idx="0">
                  <c:v>444</c:v>
                </c:pt>
                <c:pt idx="1">
                  <c:v>443</c:v>
                </c:pt>
                <c:pt idx="2">
                  <c:v>442</c:v>
                </c:pt>
                <c:pt idx="3">
                  <c:v>441</c:v>
                </c:pt>
                <c:pt idx="4">
                  <c:v>434</c:v>
                </c:pt>
                <c:pt idx="5">
                  <c:v>433</c:v>
                </c:pt>
                <c:pt idx="6">
                  <c:v>432</c:v>
                </c:pt>
                <c:pt idx="7">
                  <c:v>431</c:v>
                </c:pt>
                <c:pt idx="8">
                  <c:v>424</c:v>
                </c:pt>
                <c:pt idx="9">
                  <c:v>423</c:v>
                </c:pt>
                <c:pt idx="10">
                  <c:v>422</c:v>
                </c:pt>
                <c:pt idx="11">
                  <c:v>421</c:v>
                </c:pt>
                <c:pt idx="12">
                  <c:v>344</c:v>
                </c:pt>
                <c:pt idx="13">
                  <c:v>343</c:v>
                </c:pt>
                <c:pt idx="14">
                  <c:v>342</c:v>
                </c:pt>
                <c:pt idx="15">
                  <c:v>341</c:v>
                </c:pt>
                <c:pt idx="16">
                  <c:v>334</c:v>
                </c:pt>
                <c:pt idx="17">
                  <c:v>333</c:v>
                </c:pt>
                <c:pt idx="18">
                  <c:v>332</c:v>
                </c:pt>
                <c:pt idx="19">
                  <c:v>331</c:v>
                </c:pt>
                <c:pt idx="20">
                  <c:v>324</c:v>
                </c:pt>
                <c:pt idx="21">
                  <c:v>323</c:v>
                </c:pt>
                <c:pt idx="22">
                  <c:v>322</c:v>
                </c:pt>
                <c:pt idx="23">
                  <c:v>321</c:v>
                </c:pt>
                <c:pt idx="24">
                  <c:v>244</c:v>
                </c:pt>
                <c:pt idx="25">
                  <c:v>243</c:v>
                </c:pt>
                <c:pt idx="26">
                  <c:v>242</c:v>
                </c:pt>
                <c:pt idx="27">
                  <c:v>241</c:v>
                </c:pt>
                <c:pt idx="28">
                  <c:v>234</c:v>
                </c:pt>
                <c:pt idx="29">
                  <c:v>233</c:v>
                </c:pt>
                <c:pt idx="30">
                  <c:v>232</c:v>
                </c:pt>
                <c:pt idx="31">
                  <c:v>231</c:v>
                </c:pt>
                <c:pt idx="32">
                  <c:v>224</c:v>
                </c:pt>
                <c:pt idx="33">
                  <c:v>223</c:v>
                </c:pt>
                <c:pt idx="34">
                  <c:v>222</c:v>
                </c:pt>
                <c:pt idx="35">
                  <c:v>221</c:v>
                </c:pt>
                <c:pt idx="36">
                  <c:v>144</c:v>
                </c:pt>
                <c:pt idx="37">
                  <c:v>143</c:v>
                </c:pt>
                <c:pt idx="38">
                  <c:v>142</c:v>
                </c:pt>
                <c:pt idx="39">
                  <c:v>141</c:v>
                </c:pt>
                <c:pt idx="40">
                  <c:v>134</c:v>
                </c:pt>
                <c:pt idx="41">
                  <c:v>133</c:v>
                </c:pt>
                <c:pt idx="42">
                  <c:v>132</c:v>
                </c:pt>
                <c:pt idx="43">
                  <c:v>131</c:v>
                </c:pt>
                <c:pt idx="44">
                  <c:v>124</c:v>
                </c:pt>
                <c:pt idx="45">
                  <c:v>123</c:v>
                </c:pt>
                <c:pt idx="46">
                  <c:v>122</c:v>
                </c:pt>
                <c:pt idx="47">
                  <c:v>121</c:v>
                </c:pt>
              </c:numCache>
            </c:numRef>
          </c:xVal>
          <c:yVal>
            <c:numRef>
              <c:f>RFM_scores!$B$2:$B$49</c:f>
              <c:numCache>
                <c:formatCode>General</c:formatCode>
                <c:ptCount val="48"/>
                <c:pt idx="0">
                  <c:v>488</c:v>
                </c:pt>
                <c:pt idx="1">
                  <c:v>173</c:v>
                </c:pt>
                <c:pt idx="2">
                  <c:v>21</c:v>
                </c:pt>
                <c:pt idx="3">
                  <c:v>4</c:v>
                </c:pt>
                <c:pt idx="4">
                  <c:v>22</c:v>
                </c:pt>
                <c:pt idx="5">
                  <c:v>115</c:v>
                </c:pt>
                <c:pt idx="6">
                  <c:v>99</c:v>
                </c:pt>
                <c:pt idx="7">
                  <c:v>41</c:v>
                </c:pt>
                <c:pt idx="8">
                  <c:v>1</c:v>
                </c:pt>
                <c:pt idx="9">
                  <c:v>6</c:v>
                </c:pt>
                <c:pt idx="10">
                  <c:v>37</c:v>
                </c:pt>
                <c:pt idx="11">
                  <c:v>80</c:v>
                </c:pt>
                <c:pt idx="12">
                  <c:v>287</c:v>
                </c:pt>
                <c:pt idx="13">
                  <c:v>126</c:v>
                </c:pt>
                <c:pt idx="14">
                  <c:v>12</c:v>
                </c:pt>
                <c:pt idx="15">
                  <c:v>2</c:v>
                </c:pt>
                <c:pt idx="16">
                  <c:v>36</c:v>
                </c:pt>
                <c:pt idx="17">
                  <c:v>144</c:v>
                </c:pt>
                <c:pt idx="18">
                  <c:v>115</c:v>
                </c:pt>
                <c:pt idx="19">
                  <c:v>42</c:v>
                </c:pt>
                <c:pt idx="20">
                  <c:v>5</c:v>
                </c:pt>
                <c:pt idx="21">
                  <c:v>29</c:v>
                </c:pt>
                <c:pt idx="22">
                  <c:v>102</c:v>
                </c:pt>
                <c:pt idx="23">
                  <c:v>146</c:v>
                </c:pt>
                <c:pt idx="24">
                  <c:v>150</c:v>
                </c:pt>
                <c:pt idx="25">
                  <c:v>101</c:v>
                </c:pt>
                <c:pt idx="26">
                  <c:v>24</c:v>
                </c:pt>
                <c:pt idx="27">
                  <c:v>3</c:v>
                </c:pt>
                <c:pt idx="28">
                  <c:v>45</c:v>
                </c:pt>
                <c:pt idx="29">
                  <c:v>175</c:v>
                </c:pt>
                <c:pt idx="30">
                  <c:v>138</c:v>
                </c:pt>
                <c:pt idx="31">
                  <c:v>44</c:v>
                </c:pt>
                <c:pt idx="32">
                  <c:v>17</c:v>
                </c:pt>
                <c:pt idx="33">
                  <c:v>52</c:v>
                </c:pt>
                <c:pt idx="34">
                  <c:v>138</c:v>
                </c:pt>
                <c:pt idx="35">
                  <c:v>197</c:v>
                </c:pt>
                <c:pt idx="36">
                  <c:v>21</c:v>
                </c:pt>
                <c:pt idx="37">
                  <c:v>20</c:v>
                </c:pt>
                <c:pt idx="38">
                  <c:v>14</c:v>
                </c:pt>
                <c:pt idx="39">
                  <c:v>3</c:v>
                </c:pt>
                <c:pt idx="40">
                  <c:v>21</c:v>
                </c:pt>
                <c:pt idx="41">
                  <c:v>94</c:v>
                </c:pt>
                <c:pt idx="42">
                  <c:v>119</c:v>
                </c:pt>
                <c:pt idx="43">
                  <c:v>73</c:v>
                </c:pt>
                <c:pt idx="44">
                  <c:v>10</c:v>
                </c:pt>
                <c:pt idx="45">
                  <c:v>39</c:v>
                </c:pt>
                <c:pt idx="46">
                  <c:v>226</c:v>
                </c:pt>
                <c:pt idx="47">
                  <c:v>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0-D54D-94AA-758DBB3EC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442320"/>
        <c:axId val="1675444048"/>
      </c:scatterChart>
      <c:valAx>
        <c:axId val="16754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444048"/>
        <c:crosses val="autoZero"/>
        <c:crossBetween val="midCat"/>
      </c:valAx>
      <c:valAx>
        <c:axId val="167544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44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'CLV output'!$C$4:$O$4</c:f>
              <c:strCache>
                <c:ptCount val="13"/>
                <c:pt idx="0">
                  <c:v>wk0</c:v>
                </c:pt>
                <c:pt idx="1">
                  <c:v>wk1</c:v>
                </c:pt>
                <c:pt idx="2">
                  <c:v>wk2</c:v>
                </c:pt>
                <c:pt idx="3">
                  <c:v>wk3</c:v>
                </c:pt>
                <c:pt idx="4">
                  <c:v>wk4</c:v>
                </c:pt>
                <c:pt idx="5">
                  <c:v>wk5</c:v>
                </c:pt>
                <c:pt idx="6">
                  <c:v>wk6</c:v>
                </c:pt>
                <c:pt idx="7">
                  <c:v>wk7</c:v>
                </c:pt>
                <c:pt idx="8">
                  <c:v>wk8</c:v>
                </c:pt>
                <c:pt idx="9">
                  <c:v>wk9</c:v>
                </c:pt>
                <c:pt idx="10">
                  <c:v>wk10</c:v>
                </c:pt>
                <c:pt idx="11">
                  <c:v>wk11</c:v>
                </c:pt>
                <c:pt idx="12">
                  <c:v>wk12</c:v>
                </c:pt>
              </c:strCache>
            </c:strRef>
          </c:cat>
          <c:val>
            <c:numRef>
              <c:f>'CLV output'!$C$19:$O$19</c:f>
              <c:numCache>
                <c:formatCode>"$"#,##0.00</c:formatCode>
                <c:ptCount val="13"/>
                <c:pt idx="0">
                  <c:v>0.85538572926058221</c:v>
                </c:pt>
                <c:pt idx="1">
                  <c:v>0.19920886155370501</c:v>
                </c:pt>
                <c:pt idx="2">
                  <c:v>0.12934478413220751</c:v>
                </c:pt>
                <c:pt idx="3">
                  <c:v>9.9901028239056527E-2</c:v>
                </c:pt>
                <c:pt idx="4">
                  <c:v>8.2070172711246669E-2</c:v>
                </c:pt>
                <c:pt idx="5">
                  <c:v>4.7938755992873991E-2</c:v>
                </c:pt>
                <c:pt idx="6">
                  <c:v>3.8683879030574179E-2</c:v>
                </c:pt>
                <c:pt idx="7">
                  <c:v>2.3525857174492727E-2</c:v>
                </c:pt>
                <c:pt idx="8">
                  <c:v>1.7191660826062351E-2</c:v>
                </c:pt>
                <c:pt idx="9">
                  <c:v>8.9495320096814514E-3</c:v>
                </c:pt>
                <c:pt idx="10">
                  <c:v>2.1024049481292564E-2</c:v>
                </c:pt>
                <c:pt idx="11">
                  <c:v>1.7728379649578498E-2</c:v>
                </c:pt>
                <c:pt idx="12">
                  <c:v>1.81791015041338E-2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D-FB47-9A84-031182BCF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717648"/>
        <c:axId val="1731391776"/>
      </c:lineChart>
      <c:catAx>
        <c:axId val="16987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91776"/>
        <c:crosses val="autoZero"/>
        <c:auto val="1"/>
        <c:lblAlgn val="ctr"/>
        <c:lblOffset val="100"/>
        <c:noMultiLvlLbl val="0"/>
      </c:catAx>
      <c:valAx>
        <c:axId val="1731391776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17648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'CLV output'!$B$40</c:f>
              <c:strCache>
                <c:ptCount val="1"/>
                <c:pt idx="0">
                  <c:v>Cummulative 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'CLV output'!$C$4:$O$4</c:f>
              <c:strCache>
                <c:ptCount val="13"/>
                <c:pt idx="0">
                  <c:v>wk0</c:v>
                </c:pt>
                <c:pt idx="1">
                  <c:v>wk1</c:v>
                </c:pt>
                <c:pt idx="2">
                  <c:v>wk2</c:v>
                </c:pt>
                <c:pt idx="3">
                  <c:v>wk3</c:v>
                </c:pt>
                <c:pt idx="4">
                  <c:v>wk4</c:v>
                </c:pt>
                <c:pt idx="5">
                  <c:v>wk5</c:v>
                </c:pt>
                <c:pt idx="6">
                  <c:v>wk6</c:v>
                </c:pt>
                <c:pt idx="7">
                  <c:v>wk7</c:v>
                </c:pt>
                <c:pt idx="8">
                  <c:v>wk8</c:v>
                </c:pt>
                <c:pt idx="9">
                  <c:v>wk9</c:v>
                </c:pt>
                <c:pt idx="10">
                  <c:v>wk10</c:v>
                </c:pt>
                <c:pt idx="11">
                  <c:v>wk11</c:v>
                </c:pt>
                <c:pt idx="12">
                  <c:v>wk12</c:v>
                </c:pt>
              </c:strCache>
            </c:strRef>
          </c:cat>
          <c:val>
            <c:numRef>
              <c:f>'CLV output'!$C$40:$O$40</c:f>
              <c:numCache>
                <c:formatCode>"$"#,##0.00</c:formatCode>
                <c:ptCount val="13"/>
                <c:pt idx="0">
                  <c:v>0.85538572926058221</c:v>
                </c:pt>
                <c:pt idx="1">
                  <c:v>1.0545945908142873</c:v>
                </c:pt>
                <c:pt idx="2">
                  <c:v>1.1839393749464948</c:v>
                </c:pt>
                <c:pt idx="3">
                  <c:v>1.2838404031855513</c:v>
                </c:pt>
                <c:pt idx="4">
                  <c:v>1.365910575896798</c:v>
                </c:pt>
                <c:pt idx="5">
                  <c:v>1.4138493318896719</c:v>
                </c:pt>
                <c:pt idx="6">
                  <c:v>1.452533210920246</c:v>
                </c:pt>
                <c:pt idx="7">
                  <c:v>1.4760590680947387</c:v>
                </c:pt>
                <c:pt idx="8">
                  <c:v>1.493250728920801</c:v>
                </c:pt>
                <c:pt idx="9">
                  <c:v>1.5022002609304825</c:v>
                </c:pt>
                <c:pt idx="10">
                  <c:v>1.5232243104117751</c:v>
                </c:pt>
                <c:pt idx="11">
                  <c:v>1.5409526900613535</c:v>
                </c:pt>
                <c:pt idx="12">
                  <c:v>1.5591317915654872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7-1C4F-8489-3A339BB34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717648"/>
        <c:axId val="1731391776"/>
      </c:lineChart>
      <c:catAx>
        <c:axId val="16987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91776"/>
        <c:crosses val="autoZero"/>
        <c:auto val="1"/>
        <c:lblAlgn val="ctr"/>
        <c:lblOffset val="100"/>
        <c:noMultiLvlLbl val="0"/>
      </c:catAx>
      <c:valAx>
        <c:axId val="1731391776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17648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'CLV output'!$C$4:$O$4</c:f>
              <c:strCache>
                <c:ptCount val="13"/>
                <c:pt idx="0">
                  <c:v>wk0</c:v>
                </c:pt>
                <c:pt idx="1">
                  <c:v>wk1</c:v>
                </c:pt>
                <c:pt idx="2">
                  <c:v>wk2</c:v>
                </c:pt>
                <c:pt idx="3">
                  <c:v>wk3</c:v>
                </c:pt>
                <c:pt idx="4">
                  <c:v>wk4</c:v>
                </c:pt>
                <c:pt idx="5">
                  <c:v>wk5</c:v>
                </c:pt>
                <c:pt idx="6">
                  <c:v>wk6</c:v>
                </c:pt>
                <c:pt idx="7">
                  <c:v>wk7</c:v>
                </c:pt>
                <c:pt idx="8">
                  <c:v>wk8</c:v>
                </c:pt>
                <c:pt idx="9">
                  <c:v>wk9</c:v>
                </c:pt>
                <c:pt idx="10">
                  <c:v>wk10</c:v>
                </c:pt>
                <c:pt idx="11">
                  <c:v>wk11</c:v>
                </c:pt>
                <c:pt idx="12">
                  <c:v>wk12</c:v>
                </c:pt>
              </c:strCache>
            </c:strRef>
          </c:cat>
          <c:val>
            <c:numRef>
              <c:f>'CLV output'!$C$60:$O$60</c:f>
              <c:numCache>
                <c:formatCode>"$"#,##0.00</c:formatCode>
                <c:ptCount val="13"/>
                <c:pt idx="1">
                  <c:v>0.23687076588371644</c:v>
                </c:pt>
                <c:pt idx="2">
                  <c:v>0.70843905940155094</c:v>
                </c:pt>
                <c:pt idx="3">
                  <c:v>0.68215846754190401</c:v>
                </c:pt>
                <c:pt idx="4">
                  <c:v>0.63071516340000489</c:v>
                </c:pt>
                <c:pt idx="5">
                  <c:v>0.60939946709782389</c:v>
                </c:pt>
                <c:pt idx="6">
                  <c:v>0.60611171040309109</c:v>
                </c:pt>
                <c:pt idx="7">
                  <c:v>0.71049755799852066</c:v>
                </c:pt>
                <c:pt idx="8">
                  <c:v>0.84672001128831309</c:v>
                </c:pt>
                <c:pt idx="9">
                  <c:v>0.9842984728023515</c:v>
                </c:pt>
                <c:pt idx="10">
                  <c:v>1.1348778027694648</c:v>
                </c:pt>
                <c:pt idx="11">
                  <c:v>1.2644308637066646</c:v>
                </c:pt>
                <c:pt idx="12">
                  <c:v>1.4707807705371392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B-F941-A77C-F6B99A796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717648"/>
        <c:axId val="1731391776"/>
      </c:lineChart>
      <c:catAx>
        <c:axId val="16987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91776"/>
        <c:crosses val="autoZero"/>
        <c:auto val="1"/>
        <c:lblAlgn val="ctr"/>
        <c:lblOffset val="100"/>
        <c:noMultiLvlLbl val="0"/>
      </c:catAx>
      <c:valAx>
        <c:axId val="1731391776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17648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406400</xdr:colOff>
      <xdr:row>5</xdr:row>
      <xdr:rowOff>0</xdr:rowOff>
    </xdr:from>
    <xdr:to>
      <xdr:col>14</xdr:col>
      <xdr:colOff>584200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BE206-73BE-714C-38D8-9CA571385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546100</xdr:colOff>
      <xdr:row>38</xdr:row>
      <xdr:rowOff>50800</xdr:rowOff>
    </xdr:from>
    <xdr:to>
      <xdr:col>22</xdr:col>
      <xdr:colOff>76200</xdr:colOff>
      <xdr:row>41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46E8A6-3475-DB9F-4633-4F09D0A36B40}"/>
            </a:ext>
          </a:extLst>
        </xdr:cNvPr>
        <xdr:cNvSpPr txBox="1"/>
      </xdr:nvSpPr>
      <xdr:spPr>
        <a:xfrm>
          <a:off x="11328400" y="7747000"/>
          <a:ext cx="5308600" cy="71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numbers  summarize above values in monetary terms and percentage terms.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provides us with a coherent view of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revenue you can expect to grow based on your historical data.</a:t>
          </a:r>
          <a:endParaRPr lang="en-US" sz="1100" b="1"/>
        </a:p>
      </xdr:txBody>
    </xdr:sp>
    <xdr:clientData/>
  </xdr:twoCellAnchor>
  <xdr:twoCellAnchor>
    <xdr:from>
      <xdr:col>15</xdr:col>
      <xdr:colOff>609600</xdr:colOff>
      <xdr:row>61</xdr:row>
      <xdr:rowOff>88900</xdr:rowOff>
    </xdr:from>
    <xdr:to>
      <xdr:col>21</xdr:col>
      <xdr:colOff>762000</xdr:colOff>
      <xdr:row>65</xdr:row>
      <xdr:rowOff>165100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15A56B-7A6B-DBA0-865D-C4FDD745F598}"/>
            </a:ext>
          </a:extLst>
        </xdr:cNvPr>
        <xdr:cNvSpPr txBox="1"/>
      </xdr:nvSpPr>
      <xdr:spPr>
        <a:xfrm>
          <a:off x="11391900" y="12344400"/>
          <a:ext cx="5105400" cy="88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Avg. of cumulative revenue for 12th week for all users who have been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website. This not only provide better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estimate of CLV for all your users who have been on your website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(including the ones who did not purchase anything) but also allows you to see trends for weekly cohorts.</a:t>
          </a:r>
          <a:endParaRPr lang="en-US" sz="1100"/>
        </a:p>
      </xdr:txBody>
    </xdr:sp>
    <xdr:clientData/>
  </xdr:twoCellAnchor>
  <xdr:twoCellAnchor>
    <xdr:from>
      <xdr:col>15</xdr:col>
      <xdr:colOff>476250</xdr:colOff>
      <xdr:row>3</xdr:row>
      <xdr:rowOff>101600</xdr:rowOff>
    </xdr:from>
    <xdr:to>
      <xdr:col>22</xdr:col>
      <xdr:colOff>12700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C3868D-A7AB-DAD8-7098-CD095EC83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533400</xdr:colOff>
      <xdr:row>23</xdr:row>
      <xdr:rowOff>25400</xdr:rowOff>
    </xdr:from>
    <xdr:to>
      <xdr:col>22</xdr:col>
      <xdr:colOff>69850</xdr:colOff>
      <xdr:row>37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ABE00E-858D-5148-9E2D-9EA149CFC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419100</xdr:colOff>
      <xdr:row>44</xdr:row>
      <xdr:rowOff>38100</xdr:rowOff>
    </xdr:from>
    <xdr:to>
      <xdr:col>21</xdr:col>
      <xdr:colOff>781050</xdr:colOff>
      <xdr:row>59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BE71ED-FD58-4646-B284-A64327821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CA9A-D925-C84D-8A7B-E4958DD3F1F8}">
  <dimension ref="A1:A187"/>
  <sheetViews>
    <sheetView workbookViewId="0">
      <selection sqref="A1:A1048576"/>
    </sheetView>
  </sheetViews>
  <sheetFormatPr baseColWidth="10" defaultRowHeight="16"/>
  <cols>
    <col min="1" max="1" width="131" bestFit="1" customWidth="1"/>
  </cols>
  <sheetData>
    <row r="1" spans="1:1" s="7" customFormat="1" ht="37">
      <c r="A1" s="7" t="s">
        <v>107</v>
      </c>
    </row>
    <row r="3" spans="1:1">
      <c r="A3" s="1" t="s">
        <v>20</v>
      </c>
    </row>
    <row r="4" spans="1:1">
      <c r="A4" s="2" t="s">
        <v>21</v>
      </c>
    </row>
    <row r="5" spans="1:1">
      <c r="A5" s="1" t="s">
        <v>22</v>
      </c>
    </row>
    <row r="6" spans="1:1">
      <c r="A6" s="3" t="s">
        <v>23</v>
      </c>
    </row>
    <row r="7" spans="1:1">
      <c r="A7" s="1" t="s">
        <v>24</v>
      </c>
    </row>
    <row r="8" spans="1:1">
      <c r="A8" s="1" t="s">
        <v>25</v>
      </c>
    </row>
    <row r="9" spans="1:1">
      <c r="A9" s="1" t="s">
        <v>26</v>
      </c>
    </row>
    <row r="10" spans="1:1">
      <c r="A10" s="1" t="s">
        <v>27</v>
      </c>
    </row>
    <row r="11" spans="1:1">
      <c r="A11" s="4" t="s">
        <v>28</v>
      </c>
    </row>
    <row r="12" spans="1:1">
      <c r="A12" s="1" t="s">
        <v>29</v>
      </c>
    </row>
    <row r="13" spans="1:1">
      <c r="A13" s="3" t="s">
        <v>30</v>
      </c>
    </row>
    <row r="14" spans="1:1">
      <c r="A14" s="1" t="s">
        <v>31</v>
      </c>
    </row>
    <row r="15" spans="1:1">
      <c r="A15" s="1" t="s">
        <v>32</v>
      </c>
    </row>
    <row r="16" spans="1:1">
      <c r="A16" s="1" t="s">
        <v>33</v>
      </c>
    </row>
    <row r="17" spans="1:1">
      <c r="A17" s="1" t="s">
        <v>34</v>
      </c>
    </row>
    <row r="18" spans="1:1">
      <c r="A18" s="3" t="s">
        <v>35</v>
      </c>
    </row>
    <row r="19" spans="1:1">
      <c r="A19" s="5" t="s">
        <v>36</v>
      </c>
    </row>
    <row r="21" spans="1:1">
      <c r="A21" s="3" t="s">
        <v>37</v>
      </c>
    </row>
    <row r="22" spans="1:1">
      <c r="A22" s="2" t="s">
        <v>38</v>
      </c>
    </row>
    <row r="23" spans="1:1">
      <c r="A23" s="1" t="s">
        <v>22</v>
      </c>
    </row>
    <row r="24" spans="1:1">
      <c r="A24" s="1" t="s">
        <v>39</v>
      </c>
    </row>
    <row r="25" spans="1:1">
      <c r="A25" s="1" t="s">
        <v>40</v>
      </c>
    </row>
    <row r="26" spans="1:1">
      <c r="A26" s="1" t="s">
        <v>41</v>
      </c>
    </row>
    <row r="27" spans="1:1">
      <c r="A27" s="1" t="s">
        <v>27</v>
      </c>
    </row>
    <row r="28" spans="1:1">
      <c r="A28" s="3" t="s">
        <v>42</v>
      </c>
    </row>
    <row r="29" spans="1:1">
      <c r="A29" s="5" t="s">
        <v>36</v>
      </c>
    </row>
    <row r="31" spans="1:1">
      <c r="A31" s="3" t="s">
        <v>43</v>
      </c>
    </row>
    <row r="32" spans="1:1">
      <c r="A32" s="2" t="s">
        <v>44</v>
      </c>
    </row>
    <row r="33" spans="1:1">
      <c r="A33" s="1" t="s">
        <v>22</v>
      </c>
    </row>
    <row r="34" spans="1:1">
      <c r="A34" s="3" t="s">
        <v>45</v>
      </c>
    </row>
    <row r="35" spans="1:1">
      <c r="A35" s="3" t="s">
        <v>46</v>
      </c>
    </row>
    <row r="36" spans="1:1">
      <c r="A36" s="3" t="s">
        <v>47</v>
      </c>
    </row>
    <row r="37" spans="1:1">
      <c r="A37" s="3" t="s">
        <v>48</v>
      </c>
    </row>
    <row r="38" spans="1:1">
      <c r="A38" s="2" t="s">
        <v>49</v>
      </c>
    </row>
    <row r="39" spans="1:1">
      <c r="A39" s="1" t="s">
        <v>50</v>
      </c>
    </row>
    <row r="40" spans="1:1">
      <c r="A40" s="1" t="s">
        <v>51</v>
      </c>
    </row>
    <row r="41" spans="1:1">
      <c r="A41" s="1" t="s">
        <v>52</v>
      </c>
    </row>
    <row r="42" spans="1:1">
      <c r="A42" s="1" t="s">
        <v>53</v>
      </c>
    </row>
    <row r="43" spans="1:1">
      <c r="A43" s="1" t="s">
        <v>54</v>
      </c>
    </row>
    <row r="44" spans="1:1">
      <c r="A44" s="1" t="s">
        <v>55</v>
      </c>
    </row>
    <row r="45" spans="1:1">
      <c r="A45" s="2" t="s">
        <v>56</v>
      </c>
    </row>
    <row r="46" spans="1:1">
      <c r="A46" s="1" t="s">
        <v>50</v>
      </c>
    </row>
    <row r="47" spans="1:1">
      <c r="A47" s="1" t="s">
        <v>57</v>
      </c>
    </row>
    <row r="48" spans="1:1">
      <c r="A48" s="1" t="s">
        <v>58</v>
      </c>
    </row>
    <row r="49" spans="1:1">
      <c r="A49" s="1" t="s">
        <v>59</v>
      </c>
    </row>
    <row r="50" spans="1:1">
      <c r="A50" s="1" t="s">
        <v>54</v>
      </c>
    </row>
    <row r="51" spans="1:1">
      <c r="A51" s="1" t="s">
        <v>60</v>
      </c>
    </row>
    <row r="52" spans="1:1">
      <c r="A52" s="2" t="s">
        <v>61</v>
      </c>
    </row>
    <row r="53" spans="1:1">
      <c r="A53" s="1" t="s">
        <v>50</v>
      </c>
    </row>
    <row r="54" spans="1:1">
      <c r="A54" s="1" t="s">
        <v>62</v>
      </c>
    </row>
    <row r="55" spans="1:1">
      <c r="A55" s="1" t="s">
        <v>63</v>
      </c>
    </row>
    <row r="56" spans="1:1">
      <c r="A56" s="1" t="s">
        <v>64</v>
      </c>
    </row>
    <row r="57" spans="1:1">
      <c r="A57" s="1" t="s">
        <v>54</v>
      </c>
    </row>
    <row r="58" spans="1:1">
      <c r="A58" s="1" t="s">
        <v>65</v>
      </c>
    </row>
    <row r="59" spans="1:1">
      <c r="A59" s="1" t="s">
        <v>27</v>
      </c>
    </row>
    <row r="60" spans="1:1">
      <c r="A60" s="3" t="s">
        <v>66</v>
      </c>
    </row>
    <row r="61" spans="1:1">
      <c r="A61" s="5" t="s">
        <v>36</v>
      </c>
    </row>
    <row r="63" spans="1:1">
      <c r="A63" s="3" t="s">
        <v>67</v>
      </c>
    </row>
    <row r="64" spans="1:1">
      <c r="A64" s="2" t="s">
        <v>68</v>
      </c>
    </row>
    <row r="65" spans="1:1">
      <c r="A65" s="1" t="s">
        <v>22</v>
      </c>
    </row>
    <row r="66" spans="1:1">
      <c r="A66" s="1" t="s">
        <v>69</v>
      </c>
    </row>
    <row r="67" spans="1:1">
      <c r="A67" s="1" t="s">
        <v>70</v>
      </c>
    </row>
    <row r="68" spans="1:1">
      <c r="A68" s="1" t="s">
        <v>27</v>
      </c>
    </row>
    <row r="69" spans="1:1">
      <c r="A69" s="3" t="s">
        <v>71</v>
      </c>
    </row>
    <row r="70" spans="1:1">
      <c r="A70" s="1" t="s">
        <v>34</v>
      </c>
    </row>
    <row r="71" spans="1:1">
      <c r="A71" s="3" t="s">
        <v>72</v>
      </c>
    </row>
    <row r="72" spans="1:1">
      <c r="A72" s="5" t="s">
        <v>73</v>
      </c>
    </row>
    <row r="74" spans="1:1">
      <c r="A74" s="2" t="s">
        <v>74</v>
      </c>
    </row>
    <row r="75" spans="1:1">
      <c r="A75" s="1" t="s">
        <v>22</v>
      </c>
    </row>
    <row r="76" spans="1:1">
      <c r="A76" s="3" t="s">
        <v>75</v>
      </c>
    </row>
    <row r="77" spans="1:1">
      <c r="A77" s="3" t="s">
        <v>76</v>
      </c>
    </row>
    <row r="78" spans="1:1">
      <c r="A78" s="1" t="s">
        <v>27</v>
      </c>
    </row>
    <row r="79" spans="1:1">
      <c r="A79" s="3" t="s">
        <v>77</v>
      </c>
    </row>
    <row r="80" spans="1:1">
      <c r="A80" s="1" t="s">
        <v>78</v>
      </c>
    </row>
    <row r="81" spans="1:1">
      <c r="A81" s="3" t="s">
        <v>76</v>
      </c>
    </row>
    <row r="84" spans="1:1" ht="37">
      <c r="A84" s="7" t="s">
        <v>101</v>
      </c>
    </row>
    <row r="86" spans="1:1">
      <c r="A86" s="1" t="s">
        <v>20</v>
      </c>
    </row>
    <row r="87" spans="1:1">
      <c r="A87" s="2" t="s">
        <v>21</v>
      </c>
    </row>
    <row r="88" spans="1:1">
      <c r="A88" s="1" t="s">
        <v>22</v>
      </c>
    </row>
    <row r="89" spans="1:1">
      <c r="A89" s="3" t="s">
        <v>23</v>
      </c>
    </row>
    <row r="90" spans="1:1">
      <c r="A90" s="1" t="s">
        <v>24</v>
      </c>
    </row>
    <row r="91" spans="1:1">
      <c r="A91" s="1" t="s">
        <v>25</v>
      </c>
    </row>
    <row r="92" spans="1:1">
      <c r="A92" s="1" t="s">
        <v>26</v>
      </c>
    </row>
    <row r="93" spans="1:1">
      <c r="A93" s="1" t="s">
        <v>27</v>
      </c>
    </row>
    <row r="94" spans="1:1">
      <c r="A94" s="4" t="s">
        <v>28</v>
      </c>
    </row>
    <row r="95" spans="1:1">
      <c r="A95" s="1" t="s">
        <v>29</v>
      </c>
    </row>
    <row r="96" spans="1:1">
      <c r="A96" s="3" t="s">
        <v>30</v>
      </c>
    </row>
    <row r="97" spans="1:1">
      <c r="A97" s="1" t="s">
        <v>31</v>
      </c>
    </row>
    <row r="98" spans="1:1">
      <c r="A98" s="1" t="s">
        <v>32</v>
      </c>
    </row>
    <row r="99" spans="1:1">
      <c r="A99" s="1" t="s">
        <v>33</v>
      </c>
    </row>
    <row r="100" spans="1:1">
      <c r="A100" s="1" t="s">
        <v>34</v>
      </c>
    </row>
    <row r="101" spans="1:1">
      <c r="A101" s="3" t="s">
        <v>35</v>
      </c>
    </row>
    <row r="102" spans="1:1">
      <c r="A102" s="5" t="s">
        <v>36</v>
      </c>
    </row>
    <row r="104" spans="1:1">
      <c r="A104" s="3" t="s">
        <v>37</v>
      </c>
    </row>
    <row r="105" spans="1:1">
      <c r="A105" s="2" t="s">
        <v>38</v>
      </c>
    </row>
    <row r="106" spans="1:1">
      <c r="A106" s="1" t="s">
        <v>22</v>
      </c>
    </row>
    <row r="107" spans="1:1">
      <c r="A107" s="1" t="s">
        <v>39</v>
      </c>
    </row>
    <row r="108" spans="1:1">
      <c r="A108" s="1" t="s">
        <v>40</v>
      </c>
    </row>
    <row r="109" spans="1:1">
      <c r="A109" s="1" t="s">
        <v>41</v>
      </c>
    </row>
    <row r="110" spans="1:1">
      <c r="A110" s="1" t="s">
        <v>27</v>
      </c>
    </row>
    <row r="111" spans="1:1">
      <c r="A111" s="3" t="s">
        <v>42</v>
      </c>
    </row>
    <row r="112" spans="1:1">
      <c r="A112" s="5" t="s">
        <v>36</v>
      </c>
    </row>
    <row r="114" spans="1:1">
      <c r="A114" s="3" t="s">
        <v>43</v>
      </c>
    </row>
    <row r="115" spans="1:1">
      <c r="A115" s="2" t="s">
        <v>44</v>
      </c>
    </row>
    <row r="116" spans="1:1">
      <c r="A116" s="1" t="s">
        <v>22</v>
      </c>
    </row>
    <row r="117" spans="1:1">
      <c r="A117" s="3" t="s">
        <v>45</v>
      </c>
    </row>
    <row r="118" spans="1:1">
      <c r="A118" s="3" t="s">
        <v>46</v>
      </c>
    </row>
    <row r="119" spans="1:1">
      <c r="A119" s="3" t="s">
        <v>47</v>
      </c>
    </row>
    <row r="120" spans="1:1">
      <c r="A120" s="3" t="s">
        <v>48</v>
      </c>
    </row>
    <row r="121" spans="1:1">
      <c r="A121" s="2" t="s">
        <v>49</v>
      </c>
    </row>
    <row r="122" spans="1:1">
      <c r="A122" s="1" t="s">
        <v>50</v>
      </c>
    </row>
    <row r="123" spans="1:1">
      <c r="A123" s="1" t="s">
        <v>51</v>
      </c>
    </row>
    <row r="124" spans="1:1">
      <c r="A124" s="1" t="s">
        <v>52</v>
      </c>
    </row>
    <row r="125" spans="1:1">
      <c r="A125" s="1" t="s">
        <v>53</v>
      </c>
    </row>
    <row r="126" spans="1:1">
      <c r="A126" s="1" t="s">
        <v>54</v>
      </c>
    </row>
    <row r="127" spans="1:1">
      <c r="A127" s="1" t="s">
        <v>55</v>
      </c>
    </row>
    <row r="128" spans="1:1">
      <c r="A128" s="2" t="s">
        <v>56</v>
      </c>
    </row>
    <row r="129" spans="1:1">
      <c r="A129" s="1" t="s">
        <v>50</v>
      </c>
    </row>
    <row r="130" spans="1:1">
      <c r="A130" s="1" t="s">
        <v>57</v>
      </c>
    </row>
    <row r="131" spans="1:1">
      <c r="A131" s="1" t="s">
        <v>58</v>
      </c>
    </row>
    <row r="132" spans="1:1">
      <c r="A132" s="1" t="s">
        <v>59</v>
      </c>
    </row>
    <row r="133" spans="1:1">
      <c r="A133" s="1" t="s">
        <v>54</v>
      </c>
    </row>
    <row r="134" spans="1:1">
      <c r="A134" s="1" t="s">
        <v>60</v>
      </c>
    </row>
    <row r="135" spans="1:1">
      <c r="A135" s="2" t="s">
        <v>61</v>
      </c>
    </row>
    <row r="136" spans="1:1">
      <c r="A136" s="1" t="s">
        <v>50</v>
      </c>
    </row>
    <row r="137" spans="1:1">
      <c r="A137" s="1" t="s">
        <v>62</v>
      </c>
    </row>
    <row r="138" spans="1:1">
      <c r="A138" s="1" t="s">
        <v>63</v>
      </c>
    </row>
    <row r="139" spans="1:1">
      <c r="A139" s="1" t="s">
        <v>64</v>
      </c>
    </row>
    <row r="140" spans="1:1">
      <c r="A140" s="1" t="s">
        <v>54</v>
      </c>
    </row>
    <row r="141" spans="1:1">
      <c r="A141" s="1" t="s">
        <v>65</v>
      </c>
    </row>
    <row r="142" spans="1:1">
      <c r="A142" s="1" t="s">
        <v>27</v>
      </c>
    </row>
    <row r="143" spans="1:1">
      <c r="A143" s="3" t="s">
        <v>66</v>
      </c>
    </row>
    <row r="144" spans="1:1">
      <c r="A144" s="5" t="s">
        <v>36</v>
      </c>
    </row>
    <row r="146" spans="1:1">
      <c r="A146" s="3" t="s">
        <v>67</v>
      </c>
    </row>
    <row r="147" spans="1:1">
      <c r="A147" s="2" t="s">
        <v>68</v>
      </c>
    </row>
    <row r="148" spans="1:1">
      <c r="A148" s="1" t="s">
        <v>22</v>
      </c>
    </row>
    <row r="149" spans="1:1">
      <c r="A149" s="3" t="s">
        <v>79</v>
      </c>
    </row>
    <row r="150" spans="1:1">
      <c r="A150" s="1" t="s">
        <v>69</v>
      </c>
    </row>
    <row r="151" spans="1:1">
      <c r="A151" s="3" t="s">
        <v>80</v>
      </c>
    </row>
    <row r="152" spans="1:1">
      <c r="A152" s="1" t="s">
        <v>27</v>
      </c>
    </row>
    <row r="153" spans="1:1">
      <c r="A153" s="3" t="s">
        <v>81</v>
      </c>
    </row>
    <row r="154" spans="1:1">
      <c r="A154" s="5" t="s">
        <v>36</v>
      </c>
    </row>
    <row r="156" spans="1:1">
      <c r="A156" s="3" t="s">
        <v>82</v>
      </c>
    </row>
    <row r="157" spans="1:1">
      <c r="A157" s="2" t="s">
        <v>83</v>
      </c>
    </row>
    <row r="158" spans="1:1">
      <c r="A158" s="1" t="s">
        <v>22</v>
      </c>
    </row>
    <row r="159" spans="1:1">
      <c r="A159" s="3" t="s">
        <v>23</v>
      </c>
    </row>
    <row r="160" spans="1:1">
      <c r="A160" s="3" t="s">
        <v>75</v>
      </c>
    </row>
    <row r="161" spans="1:1">
      <c r="A161" s="2" t="s">
        <v>84</v>
      </c>
    </row>
    <row r="162" spans="1:1">
      <c r="A162" s="1" t="s">
        <v>50</v>
      </c>
    </row>
    <row r="163" spans="1:1">
      <c r="A163" s="2" t="s">
        <v>85</v>
      </c>
    </row>
    <row r="164" spans="1:1">
      <c r="A164" s="1" t="s">
        <v>86</v>
      </c>
    </row>
    <row r="165" spans="1:1">
      <c r="A165" s="2" t="s">
        <v>87</v>
      </c>
    </row>
    <row r="166" spans="1:1">
      <c r="A166" s="1" t="s">
        <v>88</v>
      </c>
    </row>
    <row r="167" spans="1:1">
      <c r="A167" s="2" t="s">
        <v>89</v>
      </c>
    </row>
    <row r="168" spans="1:1">
      <c r="A168" s="1" t="s">
        <v>90</v>
      </c>
    </row>
    <row r="169" spans="1:1">
      <c r="A169" s="2" t="s">
        <v>91</v>
      </c>
    </row>
    <row r="170" spans="1:1">
      <c r="A170" s="1" t="s">
        <v>92</v>
      </c>
    </row>
    <row r="171" spans="1:1">
      <c r="A171" s="2" t="s">
        <v>93</v>
      </c>
    </row>
    <row r="172" spans="1:1">
      <c r="A172" s="1" t="s">
        <v>94</v>
      </c>
    </row>
    <row r="173" spans="1:1">
      <c r="A173" s="1" t="s">
        <v>95</v>
      </c>
    </row>
    <row r="174" spans="1:1">
      <c r="A174" s="1" t="s">
        <v>27</v>
      </c>
    </row>
    <row r="175" spans="1:1">
      <c r="A175" s="3" t="s">
        <v>77</v>
      </c>
    </row>
    <row r="176" spans="1:1">
      <c r="A176" s="5" t="s">
        <v>73</v>
      </c>
    </row>
    <row r="178" spans="1:1">
      <c r="A178" s="2" t="s">
        <v>74</v>
      </c>
    </row>
    <row r="179" spans="1:1">
      <c r="A179" s="1" t="s">
        <v>22</v>
      </c>
    </row>
    <row r="180" spans="1:1">
      <c r="A180" s="3" t="s">
        <v>96</v>
      </c>
    </row>
    <row r="181" spans="1:1">
      <c r="A181" s="1" t="s">
        <v>97</v>
      </c>
    </row>
    <row r="182" spans="1:1">
      <c r="A182" s="1" t="s">
        <v>27</v>
      </c>
    </row>
    <row r="183" spans="1:1">
      <c r="A183" s="3" t="s">
        <v>98</v>
      </c>
    </row>
    <row r="184" spans="1:1">
      <c r="A184" s="1" t="s">
        <v>34</v>
      </c>
    </row>
    <row r="185" spans="1:1">
      <c r="A185" s="3" t="s">
        <v>99</v>
      </c>
    </row>
    <row r="186" spans="1:1">
      <c r="A186" s="1" t="s">
        <v>78</v>
      </c>
    </row>
    <row r="187" spans="1:1">
      <c r="A187" s="3" t="s">
        <v>100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42E1-02A4-CE41-BC07-3C8D126DFAF8}">
  <dimension ref="A1:C49"/>
  <sheetViews>
    <sheetView workbookViewId="0">
      <selection activeCell="C40" sqref="C40"/>
    </sheetView>
  </sheetViews>
  <sheetFormatPr baseColWidth="10" defaultRowHeight="16"/>
  <cols>
    <col min="1" max="3" width="16.6640625" customWidth="1"/>
    <col min="5" max="5" width="16.5" bestFit="1" customWidth="1"/>
    <col min="6" max="6" width="14" bestFit="1" customWidth="1"/>
  </cols>
  <sheetData>
    <row r="1" spans="1:3">
      <c r="A1" s="6" t="s">
        <v>72</v>
      </c>
      <c r="B1" t="s">
        <v>76</v>
      </c>
      <c r="C1" t="s">
        <v>99</v>
      </c>
    </row>
    <row r="2" spans="1:3">
      <c r="A2">
        <v>444</v>
      </c>
      <c r="B2">
        <v>488</v>
      </c>
      <c r="C2" t="s">
        <v>106</v>
      </c>
    </row>
    <row r="3" spans="1:3">
      <c r="A3">
        <v>443</v>
      </c>
      <c r="B3">
        <v>173</v>
      </c>
      <c r="C3" t="s">
        <v>102</v>
      </c>
    </row>
    <row r="4" spans="1:3">
      <c r="A4">
        <v>442</v>
      </c>
      <c r="B4">
        <v>21</v>
      </c>
      <c r="C4" t="s">
        <v>102</v>
      </c>
    </row>
    <row r="5" spans="1:3">
      <c r="A5">
        <v>441</v>
      </c>
      <c r="B5">
        <v>4</v>
      </c>
      <c r="C5" t="s">
        <v>102</v>
      </c>
    </row>
    <row r="6" spans="1:3">
      <c r="A6">
        <v>434</v>
      </c>
      <c r="B6">
        <v>22</v>
      </c>
      <c r="C6" t="s">
        <v>102</v>
      </c>
    </row>
    <row r="7" spans="1:3">
      <c r="A7">
        <v>433</v>
      </c>
      <c r="B7">
        <v>115</v>
      </c>
      <c r="C7" t="s">
        <v>102</v>
      </c>
    </row>
    <row r="8" spans="1:3">
      <c r="A8">
        <v>432</v>
      </c>
      <c r="B8">
        <v>99</v>
      </c>
      <c r="C8" t="s">
        <v>102</v>
      </c>
    </row>
    <row r="9" spans="1:3">
      <c r="A9">
        <v>431</v>
      </c>
      <c r="B9">
        <v>41</v>
      </c>
      <c r="C9" t="s">
        <v>102</v>
      </c>
    </row>
    <row r="10" spans="1:3">
      <c r="A10">
        <v>424</v>
      </c>
      <c r="B10">
        <v>1</v>
      </c>
      <c r="C10" t="s">
        <v>105</v>
      </c>
    </row>
    <row r="11" spans="1:3">
      <c r="A11">
        <v>423</v>
      </c>
      <c r="B11">
        <v>6</v>
      </c>
      <c r="C11" t="s">
        <v>105</v>
      </c>
    </row>
    <row r="12" spans="1:3">
      <c r="A12">
        <v>422</v>
      </c>
      <c r="B12">
        <v>37</v>
      </c>
      <c r="C12" t="s">
        <v>103</v>
      </c>
    </row>
    <row r="13" spans="1:3">
      <c r="A13">
        <v>421</v>
      </c>
      <c r="B13">
        <v>80</v>
      </c>
      <c r="C13" t="s">
        <v>103</v>
      </c>
    </row>
    <row r="14" spans="1:3">
      <c r="A14">
        <v>344</v>
      </c>
      <c r="B14">
        <v>287</v>
      </c>
      <c r="C14" t="s">
        <v>102</v>
      </c>
    </row>
    <row r="15" spans="1:3">
      <c r="A15">
        <v>343</v>
      </c>
      <c r="B15">
        <v>126</v>
      </c>
      <c r="C15" t="s">
        <v>102</v>
      </c>
    </row>
    <row r="16" spans="1:3">
      <c r="A16">
        <v>342</v>
      </c>
      <c r="B16">
        <v>12</v>
      </c>
      <c r="C16" t="s">
        <v>102</v>
      </c>
    </row>
    <row r="17" spans="1:3">
      <c r="A17">
        <v>341</v>
      </c>
      <c r="B17">
        <v>2</v>
      </c>
      <c r="C17" t="s">
        <v>102</v>
      </c>
    </row>
    <row r="18" spans="1:3">
      <c r="A18">
        <v>334</v>
      </c>
      <c r="B18">
        <v>36</v>
      </c>
      <c r="C18" t="s">
        <v>102</v>
      </c>
    </row>
    <row r="19" spans="1:3">
      <c r="A19">
        <v>333</v>
      </c>
      <c r="B19">
        <v>144</v>
      </c>
      <c r="C19" t="s">
        <v>102</v>
      </c>
    </row>
    <row r="20" spans="1:3">
      <c r="A20">
        <v>332</v>
      </c>
      <c r="B20">
        <v>115</v>
      </c>
      <c r="C20" t="s">
        <v>102</v>
      </c>
    </row>
    <row r="21" spans="1:3">
      <c r="A21">
        <v>331</v>
      </c>
      <c r="B21">
        <v>42</v>
      </c>
      <c r="C21" t="s">
        <v>102</v>
      </c>
    </row>
    <row r="22" spans="1:3">
      <c r="A22">
        <v>324</v>
      </c>
      <c r="B22">
        <v>5</v>
      </c>
      <c r="C22" t="s">
        <v>105</v>
      </c>
    </row>
    <row r="23" spans="1:3">
      <c r="A23">
        <v>323</v>
      </c>
      <c r="B23">
        <v>29</v>
      </c>
      <c r="C23" t="s">
        <v>105</v>
      </c>
    </row>
    <row r="24" spans="1:3">
      <c r="A24">
        <v>322</v>
      </c>
      <c r="B24">
        <v>102</v>
      </c>
      <c r="C24" t="s">
        <v>103</v>
      </c>
    </row>
    <row r="25" spans="1:3">
      <c r="A25">
        <v>321</v>
      </c>
      <c r="B25">
        <v>146</v>
      </c>
      <c r="C25" t="s">
        <v>103</v>
      </c>
    </row>
    <row r="26" spans="1:3">
      <c r="A26">
        <v>244</v>
      </c>
      <c r="B26">
        <v>150</v>
      </c>
      <c r="C26" t="s">
        <v>105</v>
      </c>
    </row>
    <row r="27" spans="1:3">
      <c r="A27">
        <v>243</v>
      </c>
      <c r="B27">
        <v>101</v>
      </c>
      <c r="C27" t="s">
        <v>105</v>
      </c>
    </row>
    <row r="28" spans="1:3">
      <c r="A28">
        <v>242</v>
      </c>
      <c r="B28">
        <v>24</v>
      </c>
      <c r="C28" t="s">
        <v>103</v>
      </c>
    </row>
    <row r="29" spans="1:3">
      <c r="A29">
        <v>241</v>
      </c>
      <c r="B29">
        <v>3</v>
      </c>
      <c r="C29" t="s">
        <v>103</v>
      </c>
    </row>
    <row r="30" spans="1:3">
      <c r="A30">
        <v>234</v>
      </c>
      <c r="B30">
        <v>45</v>
      </c>
      <c r="C30" t="s">
        <v>105</v>
      </c>
    </row>
    <row r="31" spans="1:3">
      <c r="A31">
        <v>233</v>
      </c>
      <c r="B31">
        <v>175</v>
      </c>
      <c r="C31" t="s">
        <v>105</v>
      </c>
    </row>
    <row r="32" spans="1:3">
      <c r="A32">
        <v>232</v>
      </c>
      <c r="B32">
        <v>138</v>
      </c>
      <c r="C32" t="s">
        <v>103</v>
      </c>
    </row>
    <row r="33" spans="1:3">
      <c r="A33">
        <v>231</v>
      </c>
      <c r="B33">
        <v>44</v>
      </c>
      <c r="C33" t="s">
        <v>103</v>
      </c>
    </row>
    <row r="34" spans="1:3">
      <c r="A34">
        <v>224</v>
      </c>
      <c r="B34">
        <v>17</v>
      </c>
      <c r="C34" t="s">
        <v>105</v>
      </c>
    </row>
    <row r="35" spans="1:3">
      <c r="A35">
        <v>223</v>
      </c>
      <c r="B35">
        <v>52</v>
      </c>
      <c r="C35" t="s">
        <v>105</v>
      </c>
    </row>
    <row r="36" spans="1:3">
      <c r="A36">
        <v>222</v>
      </c>
      <c r="B36">
        <v>138</v>
      </c>
      <c r="C36" t="s">
        <v>103</v>
      </c>
    </row>
    <row r="37" spans="1:3">
      <c r="A37">
        <v>221</v>
      </c>
      <c r="B37">
        <v>197</v>
      </c>
      <c r="C37" t="s">
        <v>103</v>
      </c>
    </row>
    <row r="38" spans="1:3">
      <c r="A38">
        <v>144</v>
      </c>
      <c r="B38">
        <v>21</v>
      </c>
      <c r="C38" t="s">
        <v>105</v>
      </c>
    </row>
    <row r="39" spans="1:3">
      <c r="A39">
        <v>143</v>
      </c>
      <c r="B39">
        <v>20</v>
      </c>
      <c r="C39" t="s">
        <v>105</v>
      </c>
    </row>
    <row r="40" spans="1:3">
      <c r="A40">
        <v>142</v>
      </c>
      <c r="B40">
        <v>14</v>
      </c>
      <c r="C40" t="s">
        <v>104</v>
      </c>
    </row>
    <row r="41" spans="1:3">
      <c r="A41">
        <v>141</v>
      </c>
      <c r="B41">
        <v>3</v>
      </c>
      <c r="C41" t="s">
        <v>104</v>
      </c>
    </row>
    <row r="42" spans="1:3">
      <c r="A42">
        <v>134</v>
      </c>
      <c r="B42">
        <v>21</v>
      </c>
      <c r="C42" t="s">
        <v>105</v>
      </c>
    </row>
    <row r="43" spans="1:3">
      <c r="A43">
        <v>133</v>
      </c>
      <c r="B43">
        <v>94</v>
      </c>
      <c r="C43" t="s">
        <v>105</v>
      </c>
    </row>
    <row r="44" spans="1:3">
      <c r="A44">
        <v>132</v>
      </c>
      <c r="B44">
        <v>119</v>
      </c>
      <c r="C44" t="s">
        <v>104</v>
      </c>
    </row>
    <row r="45" spans="1:3">
      <c r="A45">
        <v>131</v>
      </c>
      <c r="B45">
        <v>73</v>
      </c>
      <c r="C45" t="s">
        <v>104</v>
      </c>
    </row>
    <row r="46" spans="1:3">
      <c r="A46">
        <v>124</v>
      </c>
      <c r="B46">
        <v>10</v>
      </c>
      <c r="C46" t="s">
        <v>105</v>
      </c>
    </row>
    <row r="47" spans="1:3">
      <c r="A47">
        <v>123</v>
      </c>
      <c r="B47">
        <v>39</v>
      </c>
      <c r="C47" t="s">
        <v>105</v>
      </c>
    </row>
    <row r="48" spans="1:3">
      <c r="A48">
        <v>122</v>
      </c>
      <c r="B48">
        <v>226</v>
      </c>
      <c r="C48" t="s">
        <v>104</v>
      </c>
    </row>
    <row r="49" spans="1:3">
      <c r="A49">
        <v>121</v>
      </c>
      <c r="B49">
        <v>443</v>
      </c>
      <c r="C49" t="s">
        <v>104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2848-D18C-6B4C-A5A7-8D1A5D69C9E0}">
  <dimension ref="A1:C49"/>
  <sheetViews>
    <sheetView workbookViewId="0">
      <selection activeCell="B1" sqref="B1:B1048576"/>
    </sheetView>
  </sheetViews>
  <sheetFormatPr baseColWidth="10" defaultRowHeight="16"/>
  <cols>
    <col min="1" max="3" width="16.6640625" customWidth="1"/>
  </cols>
  <sheetData>
    <row r="1" spans="1:3">
      <c r="A1" s="6" t="s">
        <v>72</v>
      </c>
      <c r="B1" t="s">
        <v>76</v>
      </c>
      <c r="C1" t="s">
        <v>99</v>
      </c>
    </row>
    <row r="2" spans="1:3">
      <c r="A2">
        <v>444</v>
      </c>
      <c r="B2">
        <v>488</v>
      </c>
      <c r="C2" t="s">
        <v>106</v>
      </c>
    </row>
    <row r="3" spans="1:3">
      <c r="A3">
        <v>443</v>
      </c>
      <c r="B3">
        <v>173</v>
      </c>
      <c r="C3" t="s">
        <v>102</v>
      </c>
    </row>
    <row r="4" spans="1:3">
      <c r="A4">
        <v>442</v>
      </c>
      <c r="B4">
        <v>21</v>
      </c>
      <c r="C4" t="s">
        <v>102</v>
      </c>
    </row>
    <row r="5" spans="1:3">
      <c r="A5">
        <v>441</v>
      </c>
      <c r="B5">
        <v>4</v>
      </c>
      <c r="C5" t="s">
        <v>102</v>
      </c>
    </row>
    <row r="6" spans="1:3">
      <c r="A6">
        <v>434</v>
      </c>
      <c r="B6">
        <v>22</v>
      </c>
      <c r="C6" t="s">
        <v>102</v>
      </c>
    </row>
    <row r="7" spans="1:3">
      <c r="A7">
        <v>433</v>
      </c>
      <c r="B7">
        <v>115</v>
      </c>
      <c r="C7" t="s">
        <v>102</v>
      </c>
    </row>
    <row r="8" spans="1:3">
      <c r="A8">
        <v>432</v>
      </c>
      <c r="B8">
        <v>99</v>
      </c>
      <c r="C8" t="s">
        <v>102</v>
      </c>
    </row>
    <row r="9" spans="1:3">
      <c r="A9">
        <v>431</v>
      </c>
      <c r="B9">
        <v>41</v>
      </c>
      <c r="C9" t="s">
        <v>102</v>
      </c>
    </row>
    <row r="10" spans="1:3">
      <c r="A10">
        <v>424</v>
      </c>
      <c r="B10">
        <v>1</v>
      </c>
      <c r="C10" t="s">
        <v>105</v>
      </c>
    </row>
    <row r="11" spans="1:3">
      <c r="A11">
        <v>423</v>
      </c>
      <c r="B11">
        <v>6</v>
      </c>
      <c r="C11" t="s">
        <v>105</v>
      </c>
    </row>
    <row r="12" spans="1:3">
      <c r="A12">
        <v>422</v>
      </c>
      <c r="B12">
        <v>37</v>
      </c>
      <c r="C12" t="s">
        <v>103</v>
      </c>
    </row>
    <row r="13" spans="1:3">
      <c r="A13">
        <v>421</v>
      </c>
      <c r="B13">
        <v>80</v>
      </c>
      <c r="C13" t="s">
        <v>103</v>
      </c>
    </row>
    <row r="14" spans="1:3">
      <c r="A14">
        <v>344</v>
      </c>
      <c r="B14">
        <v>287</v>
      </c>
      <c r="C14" t="s">
        <v>102</v>
      </c>
    </row>
    <row r="15" spans="1:3">
      <c r="A15">
        <v>343</v>
      </c>
      <c r="B15">
        <v>126</v>
      </c>
      <c r="C15" t="s">
        <v>102</v>
      </c>
    </row>
    <row r="16" spans="1:3">
      <c r="A16">
        <v>342</v>
      </c>
      <c r="B16">
        <v>12</v>
      </c>
      <c r="C16" t="s">
        <v>102</v>
      </c>
    </row>
    <row r="17" spans="1:3">
      <c r="A17">
        <v>341</v>
      </c>
      <c r="B17">
        <v>2</v>
      </c>
      <c r="C17" t="s">
        <v>102</v>
      </c>
    </row>
    <row r="18" spans="1:3">
      <c r="A18">
        <v>334</v>
      </c>
      <c r="B18">
        <v>36</v>
      </c>
      <c r="C18" t="s">
        <v>102</v>
      </c>
    </row>
    <row r="19" spans="1:3">
      <c r="A19">
        <v>333</v>
      </c>
      <c r="B19">
        <v>144</v>
      </c>
      <c r="C19" t="s">
        <v>102</v>
      </c>
    </row>
    <row r="20" spans="1:3">
      <c r="A20">
        <v>332</v>
      </c>
      <c r="B20">
        <v>115</v>
      </c>
      <c r="C20" t="s">
        <v>102</v>
      </c>
    </row>
    <row r="21" spans="1:3">
      <c r="A21">
        <v>331</v>
      </c>
      <c r="B21">
        <v>42</v>
      </c>
      <c r="C21" t="s">
        <v>102</v>
      </c>
    </row>
    <row r="22" spans="1:3">
      <c r="A22">
        <v>324</v>
      </c>
      <c r="B22">
        <v>5</v>
      </c>
      <c r="C22" t="s">
        <v>105</v>
      </c>
    </row>
    <row r="23" spans="1:3">
      <c r="A23">
        <v>323</v>
      </c>
      <c r="B23">
        <v>29</v>
      </c>
      <c r="C23" t="s">
        <v>105</v>
      </c>
    </row>
    <row r="24" spans="1:3">
      <c r="A24">
        <v>322</v>
      </c>
      <c r="B24">
        <v>102</v>
      </c>
      <c r="C24" t="s">
        <v>103</v>
      </c>
    </row>
    <row r="25" spans="1:3">
      <c r="A25">
        <v>321</v>
      </c>
      <c r="B25">
        <v>146</v>
      </c>
      <c r="C25" t="s">
        <v>103</v>
      </c>
    </row>
    <row r="26" spans="1:3">
      <c r="A26">
        <v>244</v>
      </c>
      <c r="B26">
        <v>150</v>
      </c>
      <c r="C26" t="s">
        <v>105</v>
      </c>
    </row>
    <row r="27" spans="1:3">
      <c r="A27">
        <v>243</v>
      </c>
      <c r="B27">
        <v>101</v>
      </c>
      <c r="C27" t="s">
        <v>105</v>
      </c>
    </row>
    <row r="28" spans="1:3">
      <c r="A28">
        <v>242</v>
      </c>
      <c r="B28">
        <v>24</v>
      </c>
      <c r="C28" t="s">
        <v>103</v>
      </c>
    </row>
    <row r="29" spans="1:3">
      <c r="A29">
        <v>241</v>
      </c>
      <c r="B29">
        <v>3</v>
      </c>
      <c r="C29" t="s">
        <v>103</v>
      </c>
    </row>
    <row r="30" spans="1:3">
      <c r="A30">
        <v>234</v>
      </c>
      <c r="B30">
        <v>45</v>
      </c>
      <c r="C30" t="s">
        <v>105</v>
      </c>
    </row>
    <row r="31" spans="1:3">
      <c r="A31">
        <v>233</v>
      </c>
      <c r="B31">
        <v>175</v>
      </c>
      <c r="C31" t="s">
        <v>105</v>
      </c>
    </row>
    <row r="32" spans="1:3">
      <c r="A32">
        <v>232</v>
      </c>
      <c r="B32">
        <v>138</v>
      </c>
      <c r="C32" t="s">
        <v>103</v>
      </c>
    </row>
    <row r="33" spans="1:3">
      <c r="A33">
        <v>231</v>
      </c>
      <c r="B33">
        <v>44</v>
      </c>
      <c r="C33" t="s">
        <v>103</v>
      </c>
    </row>
    <row r="34" spans="1:3">
      <c r="A34">
        <v>224</v>
      </c>
      <c r="B34">
        <v>17</v>
      </c>
      <c r="C34" t="s">
        <v>105</v>
      </c>
    </row>
    <row r="35" spans="1:3">
      <c r="A35">
        <v>223</v>
      </c>
      <c r="B35">
        <v>52</v>
      </c>
      <c r="C35" t="s">
        <v>105</v>
      </c>
    </row>
    <row r="36" spans="1:3">
      <c r="A36">
        <v>222</v>
      </c>
      <c r="B36">
        <v>138</v>
      </c>
      <c r="C36" t="s">
        <v>103</v>
      </c>
    </row>
    <row r="37" spans="1:3">
      <c r="A37">
        <v>221</v>
      </c>
      <c r="B37">
        <v>197</v>
      </c>
      <c r="C37" t="s">
        <v>103</v>
      </c>
    </row>
    <row r="38" spans="1:3">
      <c r="A38">
        <v>144</v>
      </c>
      <c r="B38">
        <v>21</v>
      </c>
      <c r="C38" t="s">
        <v>105</v>
      </c>
    </row>
    <row r="39" spans="1:3">
      <c r="A39">
        <v>143</v>
      </c>
      <c r="B39">
        <v>20</v>
      </c>
      <c r="C39" t="s">
        <v>105</v>
      </c>
    </row>
    <row r="40" spans="1:3">
      <c r="A40">
        <v>142</v>
      </c>
      <c r="B40">
        <v>14</v>
      </c>
      <c r="C40" t="s">
        <v>104</v>
      </c>
    </row>
    <row r="41" spans="1:3">
      <c r="A41">
        <v>141</v>
      </c>
      <c r="B41">
        <v>3</v>
      </c>
      <c r="C41" t="s">
        <v>104</v>
      </c>
    </row>
    <row r="42" spans="1:3">
      <c r="A42">
        <v>134</v>
      </c>
      <c r="B42">
        <v>21</v>
      </c>
      <c r="C42" t="s">
        <v>105</v>
      </c>
    </row>
    <row r="43" spans="1:3">
      <c r="A43">
        <v>133</v>
      </c>
      <c r="B43">
        <v>94</v>
      </c>
      <c r="C43" t="s">
        <v>105</v>
      </c>
    </row>
    <row r="44" spans="1:3">
      <c r="A44">
        <v>132</v>
      </c>
      <c r="B44">
        <v>119</v>
      </c>
      <c r="C44" t="s">
        <v>104</v>
      </c>
    </row>
    <row r="45" spans="1:3">
      <c r="A45">
        <v>131</v>
      </c>
      <c r="B45">
        <v>73</v>
      </c>
      <c r="C45" t="s">
        <v>104</v>
      </c>
    </row>
    <row r="46" spans="1:3">
      <c r="A46">
        <v>124</v>
      </c>
      <c r="B46">
        <v>10</v>
      </c>
      <c r="C46" t="s">
        <v>105</v>
      </c>
    </row>
    <row r="47" spans="1:3">
      <c r="A47">
        <v>123</v>
      </c>
      <c r="B47">
        <v>39</v>
      </c>
      <c r="C47" t="s">
        <v>105</v>
      </c>
    </row>
    <row r="48" spans="1:3">
      <c r="A48">
        <v>122</v>
      </c>
      <c r="B48">
        <v>226</v>
      </c>
      <c r="C48" t="s">
        <v>104</v>
      </c>
    </row>
    <row r="49" spans="1:3">
      <c r="A49">
        <v>121</v>
      </c>
      <c r="B49">
        <v>443</v>
      </c>
      <c r="C49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4D3E-61AF-714C-8987-754CE314815D}">
  <dimension ref="A1:A138"/>
  <sheetViews>
    <sheetView workbookViewId="0">
      <selection sqref="A1:A1048576"/>
    </sheetView>
  </sheetViews>
  <sheetFormatPr baseColWidth="10" defaultRowHeight="16"/>
  <cols>
    <col min="1" max="1" width="181.6640625" bestFit="1" customWidth="1"/>
  </cols>
  <sheetData>
    <row r="1" spans="1:1" s="8" customFormat="1" ht="37">
      <c r="A1" s="7" t="s">
        <v>196</v>
      </c>
    </row>
    <row r="3" spans="1:1">
      <c r="A3" s="1" t="s">
        <v>108</v>
      </c>
    </row>
    <row r="4" spans="1:1">
      <c r="A4" s="2" t="s">
        <v>109</v>
      </c>
    </row>
    <row r="5" spans="1:1">
      <c r="A5" s="3" t="s">
        <v>110</v>
      </c>
    </row>
    <row r="6" spans="1:1">
      <c r="A6" s="1" t="s">
        <v>111</v>
      </c>
    </row>
    <row r="7" spans="1:1">
      <c r="A7" s="5" t="s">
        <v>36</v>
      </c>
    </row>
    <row r="9" spans="1:1">
      <c r="A9" s="3" t="s">
        <v>112</v>
      </c>
    </row>
    <row r="10" spans="1:1">
      <c r="A10" s="2" t="s">
        <v>113</v>
      </c>
    </row>
    <row r="11" spans="1:1">
      <c r="A11" s="1" t="s">
        <v>22</v>
      </c>
    </row>
    <row r="12" spans="1:1">
      <c r="A12" s="3" t="s">
        <v>114</v>
      </c>
    </row>
    <row r="13" spans="1:1">
      <c r="A13" s="1" t="s">
        <v>115</v>
      </c>
    </row>
    <row r="14" spans="1:1">
      <c r="A14" s="1" t="s">
        <v>116</v>
      </c>
    </row>
    <row r="15" spans="1:1">
      <c r="A15" s="1" t="s">
        <v>27</v>
      </c>
    </row>
    <row r="16" spans="1:1">
      <c r="A16" s="4" t="s">
        <v>117</v>
      </c>
    </row>
    <row r="17" spans="1:1">
      <c r="A17" s="1" t="s">
        <v>34</v>
      </c>
    </row>
    <row r="18" spans="1:1">
      <c r="A18" s="3" t="s">
        <v>118</v>
      </c>
    </row>
    <row r="19" spans="1:1">
      <c r="A19" s="5" t="s">
        <v>36</v>
      </c>
    </row>
    <row r="21" spans="1:1">
      <c r="A21" s="3" t="s">
        <v>119</v>
      </c>
    </row>
    <row r="22" spans="1:1">
      <c r="A22" s="2" t="s">
        <v>120</v>
      </c>
    </row>
    <row r="23" spans="1:1">
      <c r="A23" s="1" t="s">
        <v>22</v>
      </c>
    </row>
    <row r="24" spans="1:1">
      <c r="A24" s="3" t="s">
        <v>121</v>
      </c>
    </row>
    <row r="25" spans="1:1">
      <c r="A25" s="2" t="s">
        <v>122</v>
      </c>
    </row>
    <row r="26" spans="1:1">
      <c r="A26" s="1" t="s">
        <v>123</v>
      </c>
    </row>
    <row r="27" spans="1:1">
      <c r="A27" s="3" t="s">
        <v>124</v>
      </c>
    </row>
    <row r="28" spans="1:1">
      <c r="A28" s="1" t="s">
        <v>27</v>
      </c>
    </row>
    <row r="29" spans="1:1">
      <c r="A29" s="3" t="s">
        <v>125</v>
      </c>
    </row>
    <row r="30" spans="1:1">
      <c r="A30" s="5" t="s">
        <v>36</v>
      </c>
    </row>
    <row r="32" spans="1:1">
      <c r="A32" s="3" t="s">
        <v>126</v>
      </c>
    </row>
    <row r="33" spans="1:1">
      <c r="A33" s="2" t="s">
        <v>127</v>
      </c>
    </row>
    <row r="34" spans="1:1">
      <c r="A34" s="1" t="s">
        <v>22</v>
      </c>
    </row>
    <row r="35" spans="1:1">
      <c r="A35" s="3" t="s">
        <v>128</v>
      </c>
    </row>
    <row r="36" spans="1:1">
      <c r="A36" s="3" t="s">
        <v>129</v>
      </c>
    </row>
    <row r="37" spans="1:1">
      <c r="A37" s="1" t="s">
        <v>130</v>
      </c>
    </row>
    <row r="38" spans="1:1">
      <c r="A38" s="1" t="s">
        <v>131</v>
      </c>
    </row>
    <row r="39" spans="1:1">
      <c r="A39" s="1" t="s">
        <v>132</v>
      </c>
    </row>
    <row r="40" spans="1:1">
      <c r="A40" s="1" t="s">
        <v>27</v>
      </c>
    </row>
    <row r="41" spans="1:1">
      <c r="A41" s="3" t="s">
        <v>133</v>
      </c>
    </row>
    <row r="42" spans="1:1">
      <c r="A42" s="1" t="s">
        <v>134</v>
      </c>
    </row>
    <row r="43" spans="1:1">
      <c r="A43" s="1" t="s">
        <v>135</v>
      </c>
    </row>
    <row r="44" spans="1:1">
      <c r="A44" s="1" t="s">
        <v>136</v>
      </c>
    </row>
    <row r="45" spans="1:1">
      <c r="A45" s="1" t="s">
        <v>137</v>
      </c>
    </row>
    <row r="46" spans="1:1">
      <c r="A46" s="1" t="s">
        <v>138</v>
      </c>
    </row>
    <row r="47" spans="1:1">
      <c r="A47" s="1" t="s">
        <v>34</v>
      </c>
    </row>
    <row r="48" spans="1:1">
      <c r="A48" s="3" t="s">
        <v>139</v>
      </c>
    </row>
    <row r="49" spans="1:1">
      <c r="A49" s="5" t="s">
        <v>36</v>
      </c>
    </row>
    <row r="51" spans="1:1">
      <c r="A51" s="2" t="s">
        <v>140</v>
      </c>
    </row>
    <row r="52" spans="1:1">
      <c r="A52" s="3" t="s">
        <v>141</v>
      </c>
    </row>
    <row r="53" spans="1:1">
      <c r="A53" s="1" t="s">
        <v>22</v>
      </c>
    </row>
    <row r="54" spans="1:1">
      <c r="A54" s="3" t="s">
        <v>142</v>
      </c>
    </row>
    <row r="55" spans="1:1">
      <c r="A55" s="3" t="s">
        <v>143</v>
      </c>
    </row>
    <row r="56" spans="1:1">
      <c r="A56" s="3" t="s">
        <v>144</v>
      </c>
    </row>
    <row r="57" spans="1:1">
      <c r="A57" s="3" t="s">
        <v>145</v>
      </c>
    </row>
    <row r="58" spans="1:1">
      <c r="A58" s="1" t="s">
        <v>27</v>
      </c>
    </row>
    <row r="59" spans="1:1">
      <c r="A59" s="3" t="s">
        <v>146</v>
      </c>
    </row>
    <row r="60" spans="1:1">
      <c r="A60" s="1" t="s">
        <v>147</v>
      </c>
    </row>
    <row r="61" spans="1:1">
      <c r="A61" s="1" t="s">
        <v>148</v>
      </c>
    </row>
    <row r="62" spans="1:1">
      <c r="A62" s="5" t="s">
        <v>36</v>
      </c>
    </row>
    <row r="64" spans="1:1">
      <c r="A64" s="2" t="s">
        <v>149</v>
      </c>
    </row>
    <row r="65" spans="1:1">
      <c r="A65" s="3" t="s">
        <v>150</v>
      </c>
    </row>
    <row r="66" spans="1:1">
      <c r="A66" s="1" t="s">
        <v>22</v>
      </c>
    </row>
    <row r="67" spans="1:1">
      <c r="A67" s="3" t="s">
        <v>128</v>
      </c>
    </row>
    <row r="68" spans="1:1">
      <c r="A68" s="3" t="s">
        <v>129</v>
      </c>
    </row>
    <row r="69" spans="1:1">
      <c r="A69" s="1" t="s">
        <v>151</v>
      </c>
    </row>
    <row r="70" spans="1:1">
      <c r="A70" s="1" t="s">
        <v>27</v>
      </c>
    </row>
    <row r="71" spans="1:1">
      <c r="A71" s="3" t="s">
        <v>133</v>
      </c>
    </row>
    <row r="72" spans="1:1">
      <c r="A72" s="1" t="s">
        <v>152</v>
      </c>
    </row>
    <row r="73" spans="1:1">
      <c r="A73" s="1" t="s">
        <v>34</v>
      </c>
    </row>
    <row r="74" spans="1:1">
      <c r="A74" s="3" t="s">
        <v>139</v>
      </c>
    </row>
    <row r="75" spans="1:1">
      <c r="A75" s="5" t="s">
        <v>36</v>
      </c>
    </row>
    <row r="77" spans="1:1">
      <c r="A77" s="2" t="s">
        <v>153</v>
      </c>
    </row>
    <row r="78" spans="1:1">
      <c r="A78" s="3" t="s">
        <v>154</v>
      </c>
    </row>
    <row r="79" spans="1:1">
      <c r="A79" s="1" t="s">
        <v>22</v>
      </c>
    </row>
    <row r="80" spans="1:1">
      <c r="A80" s="3" t="s">
        <v>142</v>
      </c>
    </row>
    <row r="81" spans="1:1">
      <c r="A81" s="3" t="s">
        <v>143</v>
      </c>
    </row>
    <row r="82" spans="1:1">
      <c r="A82" s="3" t="s">
        <v>155</v>
      </c>
    </row>
    <row r="83" spans="1:1">
      <c r="A83" s="1" t="s">
        <v>27</v>
      </c>
    </row>
    <row r="84" spans="1:1">
      <c r="A84" s="3" t="s">
        <v>146</v>
      </c>
    </row>
    <row r="85" spans="1:1">
      <c r="A85" s="1" t="s">
        <v>156</v>
      </c>
    </row>
    <row r="86" spans="1:1">
      <c r="A86" s="3" t="s">
        <v>157</v>
      </c>
    </row>
    <row r="87" spans="1:1">
      <c r="A87" s="1" t="s">
        <v>158</v>
      </c>
    </row>
    <row r="88" spans="1:1">
      <c r="A88" s="3" t="s">
        <v>159</v>
      </c>
    </row>
    <row r="89" spans="1:1">
      <c r="A89" s="1" t="s">
        <v>160</v>
      </c>
    </row>
    <row r="90" spans="1:1">
      <c r="A90" s="5" t="s">
        <v>36</v>
      </c>
    </row>
    <row r="92" spans="1:1">
      <c r="A92" s="2" t="s">
        <v>161</v>
      </c>
    </row>
    <row r="93" spans="1:1">
      <c r="A93" s="3" t="s">
        <v>162</v>
      </c>
    </row>
    <row r="94" spans="1:1">
      <c r="A94" s="1" t="s">
        <v>22</v>
      </c>
    </row>
    <row r="95" spans="1:1">
      <c r="A95" s="3" t="s">
        <v>163</v>
      </c>
    </row>
    <row r="96" spans="1:1">
      <c r="A96" s="1" t="s">
        <v>164</v>
      </c>
    </row>
    <row r="97" spans="1:1">
      <c r="A97" s="1" t="s">
        <v>165</v>
      </c>
    </row>
    <row r="98" spans="1:1">
      <c r="A98" s="1" t="s">
        <v>166</v>
      </c>
    </row>
    <row r="99" spans="1:1">
      <c r="A99" s="1" t="s">
        <v>167</v>
      </c>
    </row>
    <row r="100" spans="1:1">
      <c r="A100" s="1" t="s">
        <v>168</v>
      </c>
    </row>
    <row r="101" spans="1:1">
      <c r="A101" s="1" t="s">
        <v>169</v>
      </c>
    </row>
    <row r="102" spans="1:1">
      <c r="A102" s="1" t="s">
        <v>170</v>
      </c>
    </row>
    <row r="103" spans="1:1">
      <c r="A103" s="1" t="s">
        <v>171</v>
      </c>
    </row>
    <row r="104" spans="1:1">
      <c r="A104" s="1" t="s">
        <v>172</v>
      </c>
    </row>
    <row r="105" spans="1:1">
      <c r="A105" s="1" t="s">
        <v>173</v>
      </c>
    </row>
    <row r="106" spans="1:1">
      <c r="A106" s="1" t="s">
        <v>174</v>
      </c>
    </row>
    <row r="107" spans="1:1">
      <c r="A107" s="1" t="s">
        <v>175</v>
      </c>
    </row>
    <row r="108" spans="1:1">
      <c r="A108" s="1" t="s">
        <v>176</v>
      </c>
    </row>
    <row r="109" spans="1:1">
      <c r="A109" s="1" t="s">
        <v>27</v>
      </c>
    </row>
    <row r="110" spans="1:1">
      <c r="A110" s="3" t="s">
        <v>177</v>
      </c>
    </row>
    <row r="111" spans="1:1">
      <c r="A111" s="1" t="s">
        <v>34</v>
      </c>
    </row>
    <row r="112" spans="1:1">
      <c r="A112" s="3" t="s">
        <v>178</v>
      </c>
    </row>
    <row r="113" spans="1:1">
      <c r="A113" s="1" t="s">
        <v>78</v>
      </c>
    </row>
    <row r="114" spans="1:1">
      <c r="A114" s="3" t="s">
        <v>178</v>
      </c>
    </row>
    <row r="115" spans="1:1">
      <c r="A115" s="5" t="s">
        <v>73</v>
      </c>
    </row>
    <row r="117" spans="1:1">
      <c r="A117" s="2" t="s">
        <v>179</v>
      </c>
    </row>
    <row r="118" spans="1:1">
      <c r="A118" s="1" t="s">
        <v>22</v>
      </c>
    </row>
    <row r="119" spans="1:1">
      <c r="A119" s="3" t="s">
        <v>180</v>
      </c>
    </row>
    <row r="120" spans="1:1">
      <c r="A120" s="3" t="s">
        <v>181</v>
      </c>
    </row>
    <row r="121" spans="1:1">
      <c r="A121" s="3" t="s">
        <v>182</v>
      </c>
    </row>
    <row r="122" spans="1:1">
      <c r="A122" s="3" t="s">
        <v>183</v>
      </c>
    </row>
    <row r="123" spans="1:1">
      <c r="A123" s="3" t="s">
        <v>184</v>
      </c>
    </row>
    <row r="124" spans="1:1">
      <c r="A124" s="3" t="s">
        <v>185</v>
      </c>
    </row>
    <row r="125" spans="1:1">
      <c r="A125" s="3" t="s">
        <v>186</v>
      </c>
    </row>
    <row r="126" spans="1:1">
      <c r="A126" s="3" t="s">
        <v>187</v>
      </c>
    </row>
    <row r="127" spans="1:1">
      <c r="A127" s="3" t="s">
        <v>188</v>
      </c>
    </row>
    <row r="128" spans="1:1">
      <c r="A128" s="3" t="s">
        <v>189</v>
      </c>
    </row>
    <row r="129" spans="1:1">
      <c r="A129" s="3" t="s">
        <v>190</v>
      </c>
    </row>
    <row r="130" spans="1:1">
      <c r="A130" s="3" t="s">
        <v>191</v>
      </c>
    </row>
    <row r="131" spans="1:1">
      <c r="A131" s="3" t="s">
        <v>192</v>
      </c>
    </row>
    <row r="132" spans="1:1">
      <c r="A132" s="3" t="s">
        <v>14</v>
      </c>
    </row>
    <row r="133" spans="1:1">
      <c r="A133" s="1" t="s">
        <v>27</v>
      </c>
    </row>
    <row r="134" spans="1:1">
      <c r="A134" s="3" t="s">
        <v>193</v>
      </c>
    </row>
    <row r="135" spans="1:1">
      <c r="A135" s="1" t="s">
        <v>29</v>
      </c>
    </row>
    <row r="136" spans="1:1">
      <c r="A136" s="3" t="s">
        <v>194</v>
      </c>
    </row>
    <row r="137" spans="1:1">
      <c r="A137" s="1" t="s">
        <v>78</v>
      </c>
    </row>
    <row r="138" spans="1:1">
      <c r="A138" s="3" t="s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5081-7265-9943-951B-566A9A7966EC}">
  <dimension ref="B1:V61"/>
  <sheetViews>
    <sheetView tabSelected="1" workbookViewId="0">
      <selection activeCell="X24" sqref="X24"/>
    </sheetView>
  </sheetViews>
  <sheetFormatPr baseColWidth="10" defaultRowHeight="16"/>
  <cols>
    <col min="1" max="1" width="10.83203125" style="10"/>
    <col min="2" max="2" width="22.33203125" style="10" customWidth="1"/>
    <col min="3" max="15" width="8.33203125" style="10" customWidth="1"/>
    <col min="16" max="16384" width="10.83203125" style="10"/>
  </cols>
  <sheetData>
    <row r="1" spans="2:22" ht="23" customHeight="1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2:22">
      <c r="B2" s="18" t="s">
        <v>17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4" spans="2:22">
      <c r="B4" s="10" t="s">
        <v>19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</row>
    <row r="5" spans="2:22">
      <c r="B5" s="11">
        <v>44136</v>
      </c>
      <c r="C5" s="12">
        <v>0.93799183185576196</v>
      </c>
      <c r="D5" s="12">
        <v>0.32637712919613499</v>
      </c>
      <c r="E5" s="12">
        <v>0.26720788923199501</v>
      </c>
      <c r="F5" s="12">
        <v>0.26172925590198198</v>
      </c>
      <c r="G5" s="12">
        <v>0.15987648172128699</v>
      </c>
      <c r="H5" s="12">
        <v>0.15320251021018</v>
      </c>
      <c r="I5" s="12">
        <v>0.165305309293754</v>
      </c>
      <c r="J5" s="12">
        <v>2.50024902878772E-2</v>
      </c>
      <c r="K5" s="12">
        <v>7.8195039346548399E-3</v>
      </c>
      <c r="L5" s="12">
        <v>1.37961948401235E-2</v>
      </c>
      <c r="M5" s="12">
        <v>2.31596772586911E-2</v>
      </c>
      <c r="N5" s="12">
        <v>1.49417272636716E-2</v>
      </c>
      <c r="O5" s="12">
        <v>1.81791015041338E-2</v>
      </c>
    </row>
    <row r="6" spans="2:22">
      <c r="B6" s="11">
        <v>44143</v>
      </c>
      <c r="C6" s="12">
        <v>1.1919664859536701</v>
      </c>
      <c r="D6" s="12">
        <v>0.38128388368654498</v>
      </c>
      <c r="E6" s="12">
        <v>0.28123459832429698</v>
      </c>
      <c r="F6" s="12">
        <v>0.22930014785608599</v>
      </c>
      <c r="G6" s="12">
        <v>0.27655248891079298</v>
      </c>
      <c r="H6" s="12">
        <v>0.10448496796451399</v>
      </c>
      <c r="I6" s="12">
        <v>3.9366683095120703E-2</v>
      </c>
      <c r="J6" s="12">
        <v>6.9369147363233102E-2</v>
      </c>
      <c r="K6" s="12"/>
      <c r="L6" s="12">
        <v>1.2013307047806799E-2</v>
      </c>
      <c r="M6" s="12">
        <v>3.5485460818136999E-2</v>
      </c>
      <c r="N6" s="12">
        <v>2.0515032035485398E-2</v>
      </c>
      <c r="O6" s="12"/>
    </row>
    <row r="7" spans="2:22">
      <c r="B7" s="11">
        <v>44150</v>
      </c>
      <c r="C7" s="12">
        <v>1.3817315774726799</v>
      </c>
      <c r="D7" s="12">
        <v>0.29677780891005801</v>
      </c>
      <c r="E7" s="12">
        <v>0.21871672737461401</v>
      </c>
      <c r="F7" s="12">
        <v>0.227570748108713</v>
      </c>
      <c r="G7" s="12">
        <v>0.167105631829644</v>
      </c>
      <c r="H7" s="12">
        <v>2.56094144017932E-2</v>
      </c>
      <c r="I7" s="12">
        <v>2.8803586438778301E-2</v>
      </c>
      <c r="J7" s="12">
        <v>2.2022975623423899E-2</v>
      </c>
      <c r="K7" s="12">
        <v>2.0958251611095501E-2</v>
      </c>
      <c r="L7" s="12">
        <v>6.2202297562342296E-3</v>
      </c>
      <c r="M7" s="12">
        <v>4.4270103670495898E-3</v>
      </c>
      <c r="N7" s="12"/>
      <c r="O7" s="12"/>
    </row>
    <row r="8" spans="2:22">
      <c r="B8" s="11">
        <v>44157</v>
      </c>
      <c r="C8" s="12">
        <v>1.6472475429036999</v>
      </c>
      <c r="D8" s="12">
        <v>0.23588124458929499</v>
      </c>
      <c r="E8" s="12">
        <v>0.225339919539644</v>
      </c>
      <c r="F8" s="12">
        <v>0.119366502011508</v>
      </c>
      <c r="G8" s="12">
        <v>3.7021948362784503E-2</v>
      </c>
      <c r="H8" s="12">
        <v>1.3240311656566601E-2</v>
      </c>
      <c r="I8" s="12">
        <v>6.4164587258746198E-3</v>
      </c>
      <c r="J8" s="12">
        <v>1.05922493252533E-2</v>
      </c>
      <c r="K8" s="12">
        <v>3.4577583133879902E-2</v>
      </c>
      <c r="L8" s="12">
        <v>3.7683963945612802E-3</v>
      </c>
      <c r="M8" s="12"/>
      <c r="N8" s="12"/>
      <c r="O8" s="12"/>
    </row>
    <row r="9" spans="2:22">
      <c r="B9" s="11">
        <v>44164</v>
      </c>
      <c r="C9" s="12">
        <v>1.31940339229684</v>
      </c>
      <c r="D9" s="12">
        <v>0.36342139966349801</v>
      </c>
      <c r="E9" s="12">
        <v>0.24328134236733201</v>
      </c>
      <c r="F9" s="12">
        <v>4.8019644399981798E-2</v>
      </c>
      <c r="G9" s="12">
        <v>1.24141694329498E-2</v>
      </c>
      <c r="H9" s="12">
        <v>2.2145423127643098E-2</v>
      </c>
      <c r="I9" s="12">
        <v>6.0934018462098097E-3</v>
      </c>
      <c r="J9" s="12">
        <v>1.19594379518894E-2</v>
      </c>
      <c r="K9" s="12">
        <v>5.4113046246191598E-3</v>
      </c>
      <c r="L9" s="12"/>
      <c r="M9" s="12"/>
      <c r="N9" s="12"/>
      <c r="O9" s="12"/>
    </row>
    <row r="10" spans="2:22">
      <c r="B10" s="11">
        <v>44171</v>
      </c>
      <c r="C10" s="12">
        <v>1.2025722327122399</v>
      </c>
      <c r="D10" s="12">
        <v>0.32943817022337801</v>
      </c>
      <c r="E10" s="12">
        <v>8.1477786882325695E-2</v>
      </c>
      <c r="F10" s="12">
        <v>3.44151911361288E-2</v>
      </c>
      <c r="G10" s="12">
        <v>2.08414977377177E-2</v>
      </c>
      <c r="H10" s="12">
        <v>2.6933627845666001E-2</v>
      </c>
      <c r="I10" s="12">
        <v>2.4404146923652399E-2</v>
      </c>
      <c r="J10" s="12">
        <v>2.2088424952794801E-3</v>
      </c>
      <c r="K10" s="12"/>
      <c r="L10" s="12"/>
      <c r="M10" s="12"/>
      <c r="N10" s="12"/>
      <c r="O10" s="12"/>
    </row>
    <row r="11" spans="2:22">
      <c r="B11" s="11">
        <v>44178</v>
      </c>
      <c r="C11" s="12">
        <v>1.00822963463602</v>
      </c>
      <c r="D11" s="12">
        <v>0.107820140738679</v>
      </c>
      <c r="E11" s="12">
        <v>4.0233769331689997E-2</v>
      </c>
      <c r="F11" s="12">
        <v>3.02150836878304E-2</v>
      </c>
      <c r="G11" s="12">
        <v>4.0830119667634002E-2</v>
      </c>
      <c r="H11" s="12">
        <v>2.9817516797201099E-2</v>
      </c>
      <c r="I11" s="12">
        <v>3.9756689062934802E-4</v>
      </c>
      <c r="J11" s="12"/>
      <c r="K11" s="12"/>
      <c r="L11" s="12"/>
      <c r="M11" s="12"/>
      <c r="N11" s="12"/>
      <c r="O11" s="12"/>
    </row>
    <row r="12" spans="2:22">
      <c r="B12" s="11">
        <v>44185</v>
      </c>
      <c r="C12" s="12">
        <v>0.36870443073471598</v>
      </c>
      <c r="D12" s="12">
        <v>5.38418395961862E-2</v>
      </c>
      <c r="E12" s="12">
        <v>2.0919798093101499E-2</v>
      </c>
      <c r="F12" s="12">
        <v>2.3275378575434599E-2</v>
      </c>
      <c r="G12" s="12">
        <v>1.80033651149747E-2</v>
      </c>
      <c r="H12" s="12">
        <v>8.0762759394279304E-3</v>
      </c>
      <c r="I12" s="12"/>
      <c r="J12" s="12"/>
      <c r="K12" s="12"/>
      <c r="L12" s="12"/>
      <c r="M12" s="12"/>
      <c r="N12" s="12"/>
      <c r="O12" s="12"/>
    </row>
    <row r="13" spans="2:22">
      <c r="B13" s="11">
        <v>44192</v>
      </c>
      <c r="C13" s="12">
        <v>0.33907733236592202</v>
      </c>
      <c r="D13" s="12">
        <v>5.0849507225346098E-2</v>
      </c>
      <c r="E13" s="12">
        <v>4.5347360783602299E-3</v>
      </c>
      <c r="F13" s="12">
        <v>2.03760807787653E-2</v>
      </c>
      <c r="G13" s="12">
        <v>5.9858516234355102E-3</v>
      </c>
      <c r="H13" s="12"/>
      <c r="I13" s="12"/>
      <c r="J13" s="12"/>
      <c r="K13" s="12"/>
      <c r="L13" s="12"/>
      <c r="M13" s="12"/>
      <c r="N13" s="12"/>
      <c r="O13" s="12"/>
    </row>
    <row r="14" spans="2:22">
      <c r="B14" s="11">
        <v>44199</v>
      </c>
      <c r="C14" s="12">
        <v>0.22837446210591</v>
      </c>
      <c r="D14" s="12">
        <v>6.42838324405023E-2</v>
      </c>
      <c r="E14" s="12">
        <v>2.73996662861157E-2</v>
      </c>
      <c r="F14" s="12">
        <v>4.7422499341354101E-3</v>
      </c>
      <c r="G14" s="12"/>
      <c r="H14" s="12"/>
      <c r="I14" s="12"/>
      <c r="J14" s="12"/>
      <c r="K14" s="12"/>
      <c r="L14" s="12"/>
      <c r="M14" s="12"/>
      <c r="N14" s="12"/>
      <c r="O14" s="12"/>
    </row>
    <row r="15" spans="2:22">
      <c r="B15" s="11">
        <v>44206</v>
      </c>
      <c r="C15" s="12">
        <v>0.39940331903785098</v>
      </c>
      <c r="D15" s="12">
        <v>5.8502703710609699E-2</v>
      </c>
      <c r="E15" s="12">
        <v>1.2446391944806999E-2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2:22">
      <c r="B16" s="11">
        <v>44213</v>
      </c>
      <c r="C16" s="12">
        <v>0.90318544894620301</v>
      </c>
      <c r="D16" s="12">
        <v>0.12202867866422799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2:15">
      <c r="B17" s="11">
        <v>44220</v>
      </c>
      <c r="C17" s="12">
        <v>0.19212678936605301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2:15"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2:15">
      <c r="B19" s="10" t="s">
        <v>1</v>
      </c>
      <c r="C19" s="12">
        <f>AVERAGE(C5:C17)</f>
        <v>0.85538572926058221</v>
      </c>
      <c r="D19" s="12">
        <f t="shared" ref="D19:O19" si="0">AVERAGE(D5:D17)</f>
        <v>0.19920886155370501</v>
      </c>
      <c r="E19" s="12">
        <f t="shared" si="0"/>
        <v>0.12934478413220751</v>
      </c>
      <c r="F19" s="12">
        <f t="shared" si="0"/>
        <v>9.9901028239056527E-2</v>
      </c>
      <c r="G19" s="12">
        <f t="shared" si="0"/>
        <v>8.2070172711246669E-2</v>
      </c>
      <c r="H19" s="12">
        <f t="shared" si="0"/>
        <v>4.7938755992873991E-2</v>
      </c>
      <c r="I19" s="12">
        <f t="shared" si="0"/>
        <v>3.8683879030574179E-2</v>
      </c>
      <c r="J19" s="12">
        <f t="shared" si="0"/>
        <v>2.3525857174492727E-2</v>
      </c>
      <c r="K19" s="12">
        <f t="shared" si="0"/>
        <v>1.7191660826062351E-2</v>
      </c>
      <c r="L19" s="12">
        <f t="shared" si="0"/>
        <v>8.9495320096814514E-3</v>
      </c>
      <c r="M19" s="12">
        <f t="shared" si="0"/>
        <v>2.1024049481292564E-2</v>
      </c>
      <c r="N19" s="12">
        <f t="shared" si="0"/>
        <v>1.7728379649578498E-2</v>
      </c>
      <c r="O19" s="12">
        <f t="shared" si="0"/>
        <v>1.81791015041338E-2</v>
      </c>
    </row>
    <row r="20" spans="2:15" hidden="1">
      <c r="B20" s="10" t="s">
        <v>16</v>
      </c>
      <c r="D20" s="14">
        <f>D19/C19-1</f>
        <v>-0.76711224569305547</v>
      </c>
      <c r="E20" s="14">
        <f t="shared" ref="E20:O20" si="1">E19/D19-1</f>
        <v>-0.35070767874782893</v>
      </c>
      <c r="F20" s="14">
        <f t="shared" si="1"/>
        <v>-0.22763775200286052</v>
      </c>
      <c r="G20" s="14">
        <f t="shared" si="1"/>
        <v>-0.17848520522873701</v>
      </c>
      <c r="H20" s="14">
        <f t="shared" si="1"/>
        <v>-0.41588089303113407</v>
      </c>
      <c r="I20" s="14">
        <f t="shared" si="1"/>
        <v>-0.19305626044354451</v>
      </c>
      <c r="J20" s="14">
        <f t="shared" si="1"/>
        <v>-0.3918433785841684</v>
      </c>
      <c r="K20" s="14">
        <f t="shared" si="1"/>
        <v>-0.26924401952495303</v>
      </c>
      <c r="L20" s="14">
        <f t="shared" si="1"/>
        <v>-0.47942597866320924</v>
      </c>
      <c r="M20" s="14">
        <f t="shared" si="1"/>
        <v>1.3491786451569876</v>
      </c>
      <c r="N20" s="14">
        <f t="shared" si="1"/>
        <v>-0.15675713827855053</v>
      </c>
      <c r="O20" s="14">
        <f t="shared" si="1"/>
        <v>2.5423747881325287E-2</v>
      </c>
    </row>
    <row r="22" spans="2:15" ht="23">
      <c r="B22" s="9" t="s">
        <v>15</v>
      </c>
    </row>
    <row r="23" spans="2:15">
      <c r="B23" s="10" t="s">
        <v>198</v>
      </c>
    </row>
    <row r="25" spans="2:15">
      <c r="B25" s="10" t="s">
        <v>19</v>
      </c>
      <c r="C25" s="10" t="s">
        <v>2</v>
      </c>
      <c r="D25" s="10" t="s">
        <v>3</v>
      </c>
      <c r="E25" s="10" t="s">
        <v>4</v>
      </c>
      <c r="F25" s="10" t="s">
        <v>5</v>
      </c>
      <c r="G25" s="10" t="s">
        <v>6</v>
      </c>
      <c r="H25" s="10" t="s">
        <v>7</v>
      </c>
      <c r="I25" s="10" t="s">
        <v>8</v>
      </c>
      <c r="J25" s="10" t="s">
        <v>9</v>
      </c>
      <c r="K25" s="10" t="s">
        <v>10</v>
      </c>
      <c r="L25" s="10" t="s">
        <v>11</v>
      </c>
      <c r="M25" s="10" t="s">
        <v>12</v>
      </c>
      <c r="N25" s="10" t="s">
        <v>13</v>
      </c>
      <c r="O25" s="10" t="s">
        <v>14</v>
      </c>
    </row>
    <row r="26" spans="2:15">
      <c r="B26" s="11">
        <v>44136</v>
      </c>
      <c r="C26" s="12">
        <f>C5</f>
        <v>0.93799183185576196</v>
      </c>
      <c r="D26" s="12">
        <f t="shared" ref="D26:D37" si="2">C26+D5</f>
        <v>1.2643689610518969</v>
      </c>
      <c r="E26" s="12">
        <f t="shared" ref="E26:O26" si="3">D26+E5</f>
        <v>1.531576850283892</v>
      </c>
      <c r="F26" s="12">
        <f t="shared" si="3"/>
        <v>1.7933061061858739</v>
      </c>
      <c r="G26" s="12">
        <f t="shared" si="3"/>
        <v>1.9531825879071609</v>
      </c>
      <c r="H26" s="12">
        <f t="shared" si="3"/>
        <v>2.1063850981173409</v>
      </c>
      <c r="I26" s="12">
        <f t="shared" si="3"/>
        <v>2.2716904074110951</v>
      </c>
      <c r="J26" s="12">
        <f t="shared" si="3"/>
        <v>2.2966928976989722</v>
      </c>
      <c r="K26" s="12">
        <f t="shared" si="3"/>
        <v>2.3045124016336271</v>
      </c>
      <c r="L26" s="12">
        <f t="shared" si="3"/>
        <v>2.3183085964737504</v>
      </c>
      <c r="M26" s="12">
        <f t="shared" si="3"/>
        <v>2.3414682737324415</v>
      </c>
      <c r="N26" s="12">
        <f t="shared" si="3"/>
        <v>2.3564100009961129</v>
      </c>
      <c r="O26" s="12">
        <f t="shared" si="3"/>
        <v>2.3745891025002468</v>
      </c>
    </row>
    <row r="27" spans="2:15">
      <c r="B27" s="11">
        <v>44143</v>
      </c>
      <c r="C27" s="12">
        <f t="shared" ref="C27:C38" si="4">C6</f>
        <v>1.1919664859536701</v>
      </c>
      <c r="D27" s="12">
        <f t="shared" si="2"/>
        <v>1.5732503696402151</v>
      </c>
      <c r="E27" s="12">
        <f t="shared" ref="E27:N27" si="5">D27+E6</f>
        <v>1.8544849679645121</v>
      </c>
      <c r="F27" s="12">
        <f t="shared" si="5"/>
        <v>2.0837851158205982</v>
      </c>
      <c r="G27" s="12">
        <f t="shared" si="5"/>
        <v>2.3603376047313911</v>
      </c>
      <c r="H27" s="12">
        <f t="shared" si="5"/>
        <v>2.4648225726959052</v>
      </c>
      <c r="I27" s="12">
        <f t="shared" si="5"/>
        <v>2.5041892557910259</v>
      </c>
      <c r="J27" s="12">
        <f t="shared" si="5"/>
        <v>2.5735584031542591</v>
      </c>
      <c r="K27" s="12">
        <f t="shared" si="5"/>
        <v>2.5735584031542591</v>
      </c>
      <c r="L27" s="12">
        <f t="shared" si="5"/>
        <v>2.5855717102020659</v>
      </c>
      <c r="M27" s="12">
        <f t="shared" si="5"/>
        <v>2.6210571710202029</v>
      </c>
      <c r="N27" s="12">
        <f t="shared" si="5"/>
        <v>2.6415722030556883</v>
      </c>
      <c r="O27" s="12"/>
    </row>
    <row r="28" spans="2:15">
      <c r="B28" s="11">
        <v>44150</v>
      </c>
      <c r="C28" s="12">
        <f t="shared" si="4"/>
        <v>1.3817315774726799</v>
      </c>
      <c r="D28" s="12">
        <f t="shared" si="2"/>
        <v>1.6785093863827378</v>
      </c>
      <c r="E28" s="12">
        <f t="shared" ref="E28:M28" si="6">D28+E7</f>
        <v>1.8972261137573518</v>
      </c>
      <c r="F28" s="12">
        <f t="shared" si="6"/>
        <v>2.1247968618660646</v>
      </c>
      <c r="G28" s="12">
        <f t="shared" si="6"/>
        <v>2.2919024936957086</v>
      </c>
      <c r="H28" s="12">
        <f t="shared" si="6"/>
        <v>2.3175119080975017</v>
      </c>
      <c r="I28" s="12">
        <f t="shared" si="6"/>
        <v>2.3463154945362801</v>
      </c>
      <c r="J28" s="12">
        <f t="shared" si="6"/>
        <v>2.3683384701597041</v>
      </c>
      <c r="K28" s="12">
        <f t="shared" si="6"/>
        <v>2.3892967217707994</v>
      </c>
      <c r="L28" s="12">
        <f t="shared" si="6"/>
        <v>2.3955169515270338</v>
      </c>
      <c r="M28" s="12">
        <f t="shared" si="6"/>
        <v>2.3999439618940834</v>
      </c>
      <c r="N28" s="12"/>
      <c r="O28" s="12"/>
    </row>
    <row r="29" spans="2:15">
      <c r="B29" s="11">
        <v>44157</v>
      </c>
      <c r="C29" s="12">
        <f t="shared" si="4"/>
        <v>1.6472475429036999</v>
      </c>
      <c r="D29" s="12">
        <f t="shared" si="2"/>
        <v>1.8831287874929949</v>
      </c>
      <c r="E29" s="12">
        <f t="shared" ref="E29:L29" si="7">D29+E8</f>
        <v>2.1084687070326389</v>
      </c>
      <c r="F29" s="12">
        <f t="shared" si="7"/>
        <v>2.2278352090441471</v>
      </c>
      <c r="G29" s="12">
        <f t="shared" si="7"/>
        <v>2.2648571574069316</v>
      </c>
      <c r="H29" s="12">
        <f t="shared" si="7"/>
        <v>2.2780974690634981</v>
      </c>
      <c r="I29" s="12">
        <f t="shared" si="7"/>
        <v>2.2845139277893729</v>
      </c>
      <c r="J29" s="12">
        <f t="shared" si="7"/>
        <v>2.2951061771146262</v>
      </c>
      <c r="K29" s="12">
        <f t="shared" si="7"/>
        <v>2.3296837602485061</v>
      </c>
      <c r="L29" s="12">
        <f t="shared" si="7"/>
        <v>2.3334521566430673</v>
      </c>
      <c r="M29" s="12"/>
      <c r="N29" s="12"/>
      <c r="O29" s="12"/>
    </row>
    <row r="30" spans="2:15">
      <c r="B30" s="11">
        <v>44164</v>
      </c>
      <c r="C30" s="12">
        <f t="shared" si="4"/>
        <v>1.31940339229684</v>
      </c>
      <c r="D30" s="12">
        <f t="shared" si="2"/>
        <v>1.6828247919603381</v>
      </c>
      <c r="E30" s="12">
        <f t="shared" ref="E30:K30" si="8">D30+E9</f>
        <v>1.9261061343276702</v>
      </c>
      <c r="F30" s="12">
        <f t="shared" si="8"/>
        <v>1.974125778727652</v>
      </c>
      <c r="G30" s="12">
        <f t="shared" si="8"/>
        <v>1.9865399481606019</v>
      </c>
      <c r="H30" s="12">
        <f t="shared" si="8"/>
        <v>2.0086853712882449</v>
      </c>
      <c r="I30" s="12">
        <f t="shared" si="8"/>
        <v>2.0147787731344549</v>
      </c>
      <c r="J30" s="12">
        <f t="shared" si="8"/>
        <v>2.0267382110863443</v>
      </c>
      <c r="K30" s="12">
        <f t="shared" si="8"/>
        <v>2.0321495157109637</v>
      </c>
      <c r="L30" s="12"/>
      <c r="M30" s="12"/>
      <c r="N30" s="12"/>
      <c r="O30" s="12"/>
    </row>
    <row r="31" spans="2:15">
      <c r="B31" s="11">
        <v>44171</v>
      </c>
      <c r="C31" s="12">
        <f t="shared" si="4"/>
        <v>1.2025722327122399</v>
      </c>
      <c r="D31" s="12">
        <f t="shared" si="2"/>
        <v>1.5320104029356179</v>
      </c>
      <c r="E31" s="12">
        <f t="shared" ref="E31:J31" si="9">D31+E10</f>
        <v>1.6134881898179436</v>
      </c>
      <c r="F31" s="12">
        <f t="shared" si="9"/>
        <v>1.6479033809540724</v>
      </c>
      <c r="G31" s="12">
        <f t="shared" si="9"/>
        <v>1.66874487869179</v>
      </c>
      <c r="H31" s="12">
        <f t="shared" si="9"/>
        <v>1.695678506537456</v>
      </c>
      <c r="I31" s="12">
        <f t="shared" si="9"/>
        <v>1.7200826534611084</v>
      </c>
      <c r="J31" s="12">
        <f t="shared" si="9"/>
        <v>1.722291495956388</v>
      </c>
      <c r="K31" s="12"/>
      <c r="L31" s="12"/>
      <c r="M31" s="12"/>
      <c r="N31" s="12"/>
      <c r="O31" s="12"/>
    </row>
    <row r="32" spans="2:15">
      <c r="B32" s="11">
        <v>44178</v>
      </c>
      <c r="C32" s="12">
        <f t="shared" si="4"/>
        <v>1.00822963463602</v>
      </c>
      <c r="D32" s="12">
        <f t="shared" si="2"/>
        <v>1.116049775374699</v>
      </c>
      <c r="E32" s="12">
        <f>D32+E11</f>
        <v>1.1562835447063891</v>
      </c>
      <c r="F32" s="12">
        <f>E32+F11</f>
        <v>1.1864986283942194</v>
      </c>
      <c r="G32" s="12">
        <f>F32+G11</f>
        <v>1.2273287480618533</v>
      </c>
      <c r="H32" s="12">
        <f>G32+H11</f>
        <v>1.2571462648590543</v>
      </c>
      <c r="I32" s="12">
        <f>H32+I11</f>
        <v>1.2575438317496836</v>
      </c>
      <c r="J32" s="12"/>
      <c r="K32" s="12"/>
      <c r="L32" s="12"/>
      <c r="M32" s="12"/>
      <c r="N32" s="12"/>
      <c r="O32" s="12"/>
    </row>
    <row r="33" spans="2:15">
      <c r="B33" s="11">
        <v>44185</v>
      </c>
      <c r="C33" s="12">
        <f t="shared" si="4"/>
        <v>0.36870443073471598</v>
      </c>
      <c r="D33" s="12">
        <f t="shared" si="2"/>
        <v>0.4225462703309022</v>
      </c>
      <c r="E33" s="12">
        <f>D33+E12</f>
        <v>0.44346606842400371</v>
      </c>
      <c r="F33" s="12">
        <f>E33+F12</f>
        <v>0.46674144699943831</v>
      </c>
      <c r="G33" s="12">
        <f>F33+G12</f>
        <v>0.484744812114413</v>
      </c>
      <c r="H33" s="12">
        <f>G33+H12</f>
        <v>0.49282108805384095</v>
      </c>
      <c r="I33" s="12"/>
      <c r="J33" s="12"/>
      <c r="K33" s="12"/>
      <c r="L33" s="12"/>
      <c r="M33" s="12"/>
      <c r="N33" s="12"/>
      <c r="O33" s="12"/>
    </row>
    <row r="34" spans="2:15">
      <c r="B34" s="11">
        <v>44192</v>
      </c>
      <c r="C34" s="12">
        <f t="shared" si="4"/>
        <v>0.33907733236592202</v>
      </c>
      <c r="D34" s="12">
        <f t="shared" si="2"/>
        <v>0.38992683959126812</v>
      </c>
      <c r="E34" s="12">
        <f>D34+E13</f>
        <v>0.39446157566962836</v>
      </c>
      <c r="F34" s="12">
        <f>E34+F13</f>
        <v>0.41483765644839365</v>
      </c>
      <c r="G34" s="12">
        <f>F34+G13</f>
        <v>0.42082350807182917</v>
      </c>
      <c r="H34" s="12"/>
      <c r="I34" s="12"/>
      <c r="J34" s="12"/>
      <c r="K34" s="12"/>
      <c r="L34" s="12"/>
      <c r="M34" s="12"/>
      <c r="N34" s="12"/>
      <c r="O34" s="12"/>
    </row>
    <row r="35" spans="2:15">
      <c r="B35" s="11">
        <v>44199</v>
      </c>
      <c r="C35" s="12">
        <f t="shared" si="4"/>
        <v>0.22837446210591</v>
      </c>
      <c r="D35" s="12">
        <f t="shared" si="2"/>
        <v>0.29265829454641229</v>
      </c>
      <c r="E35" s="12">
        <f>D35+E14</f>
        <v>0.32005796083252797</v>
      </c>
      <c r="F35" s="12">
        <f>E35+F14</f>
        <v>0.32480021076666338</v>
      </c>
      <c r="G35" s="12"/>
      <c r="H35" s="12"/>
      <c r="I35" s="12"/>
      <c r="J35" s="12"/>
      <c r="K35" s="12"/>
      <c r="L35" s="12"/>
      <c r="M35" s="12"/>
      <c r="N35" s="12"/>
      <c r="O35" s="12"/>
    </row>
    <row r="36" spans="2:15">
      <c r="B36" s="11">
        <v>44206</v>
      </c>
      <c r="C36" s="12">
        <f t="shared" si="4"/>
        <v>0.39940331903785098</v>
      </c>
      <c r="D36" s="12">
        <f t="shared" si="2"/>
        <v>0.45790602274846071</v>
      </c>
      <c r="E36" s="12">
        <f>D36+E15</f>
        <v>0.47035241469326772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2:15">
      <c r="B37" s="11">
        <v>44213</v>
      </c>
      <c r="C37" s="12">
        <f t="shared" si="4"/>
        <v>0.90318544894620301</v>
      </c>
      <c r="D37" s="12">
        <f t="shared" si="2"/>
        <v>1.025214127610431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2:15">
      <c r="B38" s="11">
        <v>44220</v>
      </c>
      <c r="C38" s="12">
        <f t="shared" si="4"/>
        <v>0.19212678936605301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40" spans="2:15">
      <c r="B40" s="10" t="s">
        <v>18</v>
      </c>
      <c r="C40" s="12">
        <f>C19</f>
        <v>0.85538572926058221</v>
      </c>
      <c r="D40" s="12">
        <f>C40+D19</f>
        <v>1.0545945908142873</v>
      </c>
      <c r="E40" s="12">
        <f t="shared" ref="E40:O40" si="10">D40+E19</f>
        <v>1.1839393749464948</v>
      </c>
      <c r="F40" s="12">
        <f t="shared" si="10"/>
        <v>1.2838404031855513</v>
      </c>
      <c r="G40" s="12">
        <f t="shared" si="10"/>
        <v>1.365910575896798</v>
      </c>
      <c r="H40" s="12">
        <f t="shared" si="10"/>
        <v>1.4138493318896719</v>
      </c>
      <c r="I40" s="12">
        <f t="shared" si="10"/>
        <v>1.452533210920246</v>
      </c>
      <c r="J40" s="12">
        <f t="shared" si="10"/>
        <v>1.4760590680947387</v>
      </c>
      <c r="K40" s="12">
        <f t="shared" si="10"/>
        <v>1.493250728920801</v>
      </c>
      <c r="L40" s="12">
        <f t="shared" si="10"/>
        <v>1.5022002609304825</v>
      </c>
      <c r="M40" s="12">
        <f t="shared" si="10"/>
        <v>1.5232243104117751</v>
      </c>
      <c r="N40" s="12">
        <f t="shared" si="10"/>
        <v>1.5409526900613535</v>
      </c>
      <c r="O40" s="12">
        <f t="shared" si="10"/>
        <v>1.5591317915654872</v>
      </c>
    </row>
    <row r="41" spans="2:15">
      <c r="B41" s="10" t="s">
        <v>199</v>
      </c>
      <c r="D41" s="15">
        <f>D40/C40-1</f>
        <v>0.23288775430694453</v>
      </c>
      <c r="E41" s="15">
        <f t="shared" ref="E41" si="11">E40/D40-1</f>
        <v>0.12264882188741</v>
      </c>
      <c r="F41" s="15">
        <f t="shared" ref="F41" si="12">F40/E40-1</f>
        <v>8.4380189013961271E-2</v>
      </c>
      <c r="G41" s="15">
        <f t="shared" ref="G41" si="13">G40/F40-1</f>
        <v>6.3925525717689391E-2</v>
      </c>
      <c r="H41" s="15">
        <f t="shared" ref="H41" si="14">H40/G40-1</f>
        <v>3.5096555249525929E-2</v>
      </c>
      <c r="I41" s="15">
        <f t="shared" ref="I41" si="15">I40/H40-1</f>
        <v>2.7360679923985609E-2</v>
      </c>
      <c r="J41" s="15">
        <f t="shared" ref="J41" si="16">J40/I40-1</f>
        <v>1.6196433236516539E-2</v>
      </c>
      <c r="K41" s="15">
        <f t="shared" ref="K41" si="17">K40/J40-1</f>
        <v>1.1647000582607259E-2</v>
      </c>
      <c r="L41" s="15">
        <f t="shared" ref="L41" si="18">L40/K40-1</f>
        <v>5.9933217083707468E-3</v>
      </c>
      <c r="M41" s="15">
        <f t="shared" ref="M41" si="19">M40/L40-1</f>
        <v>1.3995503814032029E-2</v>
      </c>
      <c r="N41" s="15">
        <f t="shared" ref="N41" si="20">N40/M40-1</f>
        <v>1.1638718951896054E-2</v>
      </c>
      <c r="O41" s="15">
        <f t="shared" ref="O41" si="21">O40/N40-1</f>
        <v>1.1797313195520465E-2</v>
      </c>
    </row>
    <row r="43" spans="2:15" ht="23">
      <c r="B43" s="9" t="s">
        <v>197</v>
      </c>
    </row>
    <row r="45" spans="2:15">
      <c r="B45" s="10" t="s">
        <v>19</v>
      </c>
      <c r="C45" s="10" t="s">
        <v>2</v>
      </c>
      <c r="D45" s="10" t="s">
        <v>3</v>
      </c>
      <c r="E45" s="10" t="s">
        <v>4</v>
      </c>
      <c r="F45" s="10" t="s">
        <v>5</v>
      </c>
      <c r="G45" s="10" t="s">
        <v>6</v>
      </c>
      <c r="H45" s="10" t="s">
        <v>7</v>
      </c>
      <c r="I45" s="10" t="s">
        <v>8</v>
      </c>
      <c r="J45" s="10" t="s">
        <v>9</v>
      </c>
      <c r="K45" s="10" t="s">
        <v>10</v>
      </c>
      <c r="L45" s="10" t="s">
        <v>11</v>
      </c>
      <c r="M45" s="10" t="s">
        <v>12</v>
      </c>
      <c r="N45" s="10" t="s">
        <v>13</v>
      </c>
      <c r="O45" s="10" t="s">
        <v>14</v>
      </c>
    </row>
    <row r="46" spans="2:15">
      <c r="B46" s="11">
        <v>44136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6">
        <f>O26</f>
        <v>2.3745891025002468</v>
      </c>
    </row>
    <row r="47" spans="2:15">
      <c r="B47" s="11">
        <v>44143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>
        <f>N27*(1+O$41)</f>
        <v>2.6727356576637171</v>
      </c>
    </row>
    <row r="48" spans="2:15">
      <c r="B48" s="11">
        <v>44150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>
        <f>M28*(1+N$41)</f>
        <v>2.4278762351668686</v>
      </c>
      <c r="O48" s="12">
        <f t="shared" ref="O48" si="22">N48*(1+O$41)</f>
        <v>2.4565186515130932</v>
      </c>
    </row>
    <row r="49" spans="2:15">
      <c r="B49" s="11">
        <v>44157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>
        <f>L29*(1+M$41)</f>
        <v>2.3661099952012266</v>
      </c>
      <c r="N49" s="12">
        <f t="shared" ref="N49:O49" si="23">M49*(1+N$41)</f>
        <v>2.393648484444646</v>
      </c>
      <c r="O49" s="12">
        <f t="shared" si="23"/>
        <v>2.4218871052956223</v>
      </c>
    </row>
    <row r="50" spans="2:15">
      <c r="B50" s="11">
        <v>44164</v>
      </c>
      <c r="C50" s="12"/>
      <c r="D50" s="12"/>
      <c r="E50" s="12"/>
      <c r="F50" s="12"/>
      <c r="G50" s="12"/>
      <c r="H50" s="12"/>
      <c r="I50" s="12"/>
      <c r="J50" s="12"/>
      <c r="K50" s="12"/>
      <c r="L50" s="12">
        <f>K30*(1+L$41)</f>
        <v>2.0443288415181291</v>
      </c>
      <c r="M50" s="12">
        <f t="shared" ref="M50:O50" si="24">L50*(1+M$41)</f>
        <v>2.0729402536167316</v>
      </c>
      <c r="N50" s="12">
        <f t="shared" si="24"/>
        <v>2.0970666226326489</v>
      </c>
      <c r="O50" s="12">
        <f t="shared" si="24"/>
        <v>2.1218063743717184</v>
      </c>
    </row>
    <row r="51" spans="2:15">
      <c r="B51" s="11">
        <v>44171</v>
      </c>
      <c r="C51" s="12"/>
      <c r="D51" s="12"/>
      <c r="E51" s="12"/>
      <c r="F51" s="12"/>
      <c r="G51" s="12"/>
      <c r="H51" s="12"/>
      <c r="I51" s="12"/>
      <c r="J51" s="12"/>
      <c r="K51" s="12">
        <f>J31*(1+K$41)</f>
        <v>1.7423510260132116</v>
      </c>
      <c r="L51" s="12">
        <f t="shared" ref="L51:O51" si="25">K51*(1+L$41)</f>
        <v>1.7527934962410185</v>
      </c>
      <c r="M51" s="12">
        <f t="shared" si="25"/>
        <v>1.7773247243028703</v>
      </c>
      <c r="N51" s="12">
        <f t="shared" si="25"/>
        <v>1.7980105072552874</v>
      </c>
      <c r="O51" s="12">
        <f t="shared" si="25"/>
        <v>1.8192222003382146</v>
      </c>
    </row>
    <row r="52" spans="2:15">
      <c r="B52" s="11">
        <v>44178</v>
      </c>
      <c r="C52" s="12"/>
      <c r="D52" s="12"/>
      <c r="E52" s="12"/>
      <c r="F52" s="12"/>
      <c r="G52" s="12"/>
      <c r="H52" s="12"/>
      <c r="I52" s="12"/>
      <c r="J52" s="12">
        <f>I32*(1+J$41)</f>
        <v>1.2779115564626107</v>
      </c>
      <c r="K52" s="12">
        <f t="shared" ref="K52:O52" si="26">J52*(1+K$41)</f>
        <v>1.2927953931052512</v>
      </c>
      <c r="L52" s="12">
        <f t="shared" si="26"/>
        <v>1.3005435317992307</v>
      </c>
      <c r="M52" s="12">
        <f t="shared" si="26"/>
        <v>1.3187452937588415</v>
      </c>
      <c r="N52" s="12">
        <f t="shared" si="26"/>
        <v>1.3340937996020363</v>
      </c>
      <c r="O52" s="12">
        <f t="shared" si="26"/>
        <v>1.3498325219881435</v>
      </c>
    </row>
    <row r="53" spans="2:15">
      <c r="B53" s="11">
        <v>44185</v>
      </c>
      <c r="C53" s="12"/>
      <c r="D53" s="12"/>
      <c r="E53" s="12"/>
      <c r="F53" s="12"/>
      <c r="G53" s="12"/>
      <c r="H53" s="12"/>
      <c r="I53" s="12">
        <f>H33*(1+I$41)</f>
        <v>0.50630500810387247</v>
      </c>
      <c r="J53" s="12">
        <f t="shared" ref="J53:O53" si="27">I53*(1+J$41)</f>
        <v>0.5145053433649408</v>
      </c>
      <c r="K53" s="12">
        <f t="shared" si="27"/>
        <v>0.52049778739886676</v>
      </c>
      <c r="L53" s="12">
        <f t="shared" si="27"/>
        <v>0.52361729808724333</v>
      </c>
      <c r="M53" s="12">
        <f t="shared" si="27"/>
        <v>0.53094558597971653</v>
      </c>
      <c r="N53" s="12">
        <f t="shared" si="27"/>
        <v>0.53712511243368422</v>
      </c>
      <c r="O53" s="12">
        <f t="shared" si="27"/>
        <v>0.54346174561024352</v>
      </c>
    </row>
    <row r="54" spans="2:15">
      <c r="B54" s="11">
        <v>44192</v>
      </c>
      <c r="C54" s="12"/>
      <c r="D54" s="12"/>
      <c r="E54" s="12"/>
      <c r="F54" s="12"/>
      <c r="G54" s="12"/>
      <c r="H54" s="12">
        <f>G34*(1+H$41)</f>
        <v>0.43559296357317145</v>
      </c>
      <c r="I54" s="12">
        <f t="shared" ref="F54:O58" si="28">H54*(1+I$41)</f>
        <v>0.4475110832266373</v>
      </c>
      <c r="J54" s="12">
        <f t="shared" ref="J54:O54" si="29">I54*(1+J$41)</f>
        <v>0.45475916660871873</v>
      </c>
      <c r="K54" s="12">
        <f t="shared" si="29"/>
        <v>0.46005574688715645</v>
      </c>
      <c r="L54" s="12">
        <f t="shared" si="29"/>
        <v>0.46281300898203598</v>
      </c>
      <c r="M54" s="12">
        <f t="shared" si="29"/>
        <v>0.46929031021442769</v>
      </c>
      <c r="N54" s="12">
        <f t="shared" si="29"/>
        <v>0.47475224824186152</v>
      </c>
      <c r="O54" s="12">
        <f t="shared" si="29"/>
        <v>0.48035304920464822</v>
      </c>
    </row>
    <row r="55" spans="2:15">
      <c r="B55" s="11">
        <v>44199</v>
      </c>
      <c r="C55" s="12"/>
      <c r="D55" s="12"/>
      <c r="E55" s="12"/>
      <c r="F55" s="12"/>
      <c r="G55" s="12">
        <f>F35*(1+G$41)</f>
        <v>0.34556323499313868</v>
      </c>
      <c r="H55" s="12">
        <f t="shared" si="28"/>
        <v>0.35769131416228028</v>
      </c>
      <c r="I55" s="12">
        <f t="shared" si="28"/>
        <v>0.3674779917206642</v>
      </c>
      <c r="J55" s="12">
        <f t="shared" ref="J55:O55" si="30">I55*(1+J$41)</f>
        <v>0.37342982447945711</v>
      </c>
      <c r="K55" s="12">
        <f t="shared" si="30"/>
        <v>0.37777916186273225</v>
      </c>
      <c r="L55" s="12">
        <f t="shared" si="30"/>
        <v>0.38004331391449425</v>
      </c>
      <c r="M55" s="12">
        <f t="shared" si="30"/>
        <v>0.38536221156388195</v>
      </c>
      <c r="N55" s="12">
        <f t="shared" si="30"/>
        <v>0.38984733403895511</v>
      </c>
      <c r="O55" s="12">
        <f t="shared" si="30"/>
        <v>0.39444648513705133</v>
      </c>
    </row>
    <row r="56" spans="2:15">
      <c r="B56" s="11">
        <v>44206</v>
      </c>
      <c r="C56" s="12"/>
      <c r="D56" s="12"/>
      <c r="E56" s="12"/>
      <c r="F56" s="12">
        <f>E36*(1+F$41)</f>
        <v>0.51004084034825869</v>
      </c>
      <c r="G56" s="12">
        <f t="shared" si="28"/>
        <v>0.54264546920501322</v>
      </c>
      <c r="H56" s="12">
        <f t="shared" si="28"/>
        <v>0.56169045589587185</v>
      </c>
      <c r="I56" s="12">
        <f t="shared" si="28"/>
        <v>0.57705868867599641</v>
      </c>
      <c r="J56" s="12">
        <f t="shared" ref="J56:O56" si="31">I56*(1+J$41)</f>
        <v>0.58640498120068896</v>
      </c>
      <c r="K56" s="12">
        <f t="shared" si="31"/>
        <v>0.59323484035837715</v>
      </c>
      <c r="L56" s="12">
        <f t="shared" si="31"/>
        <v>0.59679028760525887</v>
      </c>
      <c r="M56" s="12">
        <f t="shared" si="31"/>
        <v>0.60514266835161556</v>
      </c>
      <c r="N56" s="12">
        <f t="shared" si="31"/>
        <v>0.61218575379436047</v>
      </c>
      <c r="O56" s="12">
        <f t="shared" si="31"/>
        <v>0.61940790086570829</v>
      </c>
    </row>
    <row r="57" spans="2:15">
      <c r="B57" s="11">
        <v>44213</v>
      </c>
      <c r="C57" s="12"/>
      <c r="D57" s="12"/>
      <c r="E57" s="12">
        <f>D37*(1+E$41)</f>
        <v>1.1509554325441791</v>
      </c>
      <c r="F57" s="12">
        <f t="shared" si="28"/>
        <v>1.2480732694889025</v>
      </c>
      <c r="G57" s="12">
        <f t="shared" si="28"/>
        <v>1.327857009375176</v>
      </c>
      <c r="H57" s="12">
        <f t="shared" si="28"/>
        <v>1.3744602162681823</v>
      </c>
      <c r="I57" s="12">
        <f t="shared" si="28"/>
        <v>1.412066382313748</v>
      </c>
      <c r="J57" s="12">
        <f t="shared" ref="J57:O57" si="32">I57*(1+J$41)</f>
        <v>1.4349368212004221</v>
      </c>
      <c r="K57" s="12">
        <f t="shared" si="32"/>
        <v>1.451649531192948</v>
      </c>
      <c r="L57" s="12">
        <f t="shared" si="32"/>
        <v>1.460349733841193</v>
      </c>
      <c r="M57" s="12">
        <f t="shared" si="32"/>
        <v>1.4807880641109881</v>
      </c>
      <c r="N57" s="12">
        <f t="shared" si="32"/>
        <v>1.4980225402164982</v>
      </c>
      <c r="O57" s="12">
        <f t="shared" si="32"/>
        <v>1.5156951812973813</v>
      </c>
    </row>
    <row r="58" spans="2:15">
      <c r="B58" s="11">
        <v>44220</v>
      </c>
      <c r="C58" s="12"/>
      <c r="D58" s="12">
        <f>C38*(1+D$41)</f>
        <v>0.23687076588371644</v>
      </c>
      <c r="E58" s="12">
        <f>D58*(1+E$41)</f>
        <v>0.26592268625892279</v>
      </c>
      <c r="F58" s="12">
        <f t="shared" si="28"/>
        <v>0.28836129278855099</v>
      </c>
      <c r="G58" s="12">
        <f t="shared" si="28"/>
        <v>0.30679494002669166</v>
      </c>
      <c r="H58" s="12">
        <f t="shared" si="28"/>
        <v>0.31756238558961342</v>
      </c>
      <c r="I58" s="12">
        <f t="shared" si="28"/>
        <v>0.32625110837762811</v>
      </c>
      <c r="J58" s="12">
        <f t="shared" si="28"/>
        <v>0.33153521267280589</v>
      </c>
      <c r="K58" s="12">
        <f t="shared" si="28"/>
        <v>0.33539660348796091</v>
      </c>
      <c r="L58" s="12">
        <f t="shared" si="28"/>
        <v>0.33740674323255915</v>
      </c>
      <c r="M58" s="12">
        <f t="shared" si="28"/>
        <v>0.34212892059435057</v>
      </c>
      <c r="N58" s="12">
        <f t="shared" si="28"/>
        <v>0.34611086294646376</v>
      </c>
      <c r="O58" s="12">
        <f t="shared" si="28"/>
        <v>0.35019404119701503</v>
      </c>
    </row>
    <row r="59" spans="2:15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2:15">
      <c r="B60" s="10" t="s">
        <v>1</v>
      </c>
      <c r="C60" s="12"/>
      <c r="D60" s="12">
        <f t="shared" ref="D60:M60" si="33">AVERAGE(D47:D58)</f>
        <v>0.23687076588371644</v>
      </c>
      <c r="E60" s="12">
        <f t="shared" si="33"/>
        <v>0.70843905940155094</v>
      </c>
      <c r="F60" s="12">
        <f t="shared" si="33"/>
        <v>0.68215846754190401</v>
      </c>
      <c r="G60" s="12">
        <f t="shared" si="33"/>
        <v>0.63071516340000489</v>
      </c>
      <c r="H60" s="12">
        <f t="shared" si="33"/>
        <v>0.60939946709782389</v>
      </c>
      <c r="I60" s="12">
        <f t="shared" si="33"/>
        <v>0.60611171040309109</v>
      </c>
      <c r="J60" s="12">
        <f t="shared" si="33"/>
        <v>0.71049755799852066</v>
      </c>
      <c r="K60" s="12">
        <f t="shared" si="33"/>
        <v>0.84672001128831309</v>
      </c>
      <c r="L60" s="12">
        <f t="shared" si="33"/>
        <v>0.9842984728023515</v>
      </c>
      <c r="M60" s="12">
        <f t="shared" si="33"/>
        <v>1.1348778027694648</v>
      </c>
      <c r="N60" s="12">
        <f>AVERAGE(N47:N58)</f>
        <v>1.2644308637066646</v>
      </c>
      <c r="O60" s="12">
        <f>AVERAGE(O46:O58)</f>
        <v>1.4707807705371392</v>
      </c>
    </row>
    <row r="61" spans="2:15" hidden="1">
      <c r="B61" s="10" t="s">
        <v>199</v>
      </c>
      <c r="D61" s="15">
        <f>D60/C19-1</f>
        <v>-0.72308309832515705</v>
      </c>
      <c r="E61" s="15">
        <f t="shared" ref="E61" si="34">E60/D60-1</f>
        <v>1.9908252154228889</v>
      </c>
      <c r="F61" s="15">
        <f t="shared" ref="F61" si="35">F60/E60-1</f>
        <v>-3.7096475004988139E-2</v>
      </c>
      <c r="G61" s="15">
        <f t="shared" ref="G61" si="36">G60/F60-1</f>
        <v>-7.5412542084642542E-2</v>
      </c>
      <c r="H61" s="15">
        <f t="shared" ref="H61" si="37">H60/G60-1</f>
        <v>-3.3796073947666261E-2</v>
      </c>
      <c r="I61" s="15">
        <f t="shared" ref="I61" si="38">I60/H60-1</f>
        <v>-5.3950764190692224E-3</v>
      </c>
      <c r="J61" s="15">
        <f t="shared" ref="J61" si="39">J60/I60-1</f>
        <v>0.17222212638988332</v>
      </c>
      <c r="K61" s="15">
        <f t="shared" ref="K61" si="40">K60/J60-1</f>
        <v>0.1917282498106434</v>
      </c>
      <c r="L61" s="15">
        <f t="shared" ref="L61" si="41">L60/K60-1</f>
        <v>0.16248400850324551</v>
      </c>
      <c r="M61" s="15">
        <f t="shared" ref="M61" si="42">M60/L60-1</f>
        <v>0.15298137112659105</v>
      </c>
      <c r="N61" s="15">
        <f t="shared" ref="N61" si="43">N60/M60-1</f>
        <v>0.11415595636908993</v>
      </c>
      <c r="O61" s="15">
        <f t="shared" ref="O61" si="44">O60/N60-1</f>
        <v>0.16319587946909353</v>
      </c>
    </row>
  </sheetData>
  <mergeCells count="2">
    <mergeCell ref="B1:V1"/>
    <mergeCell ref="B2:V2"/>
  </mergeCells>
  <conditionalFormatting sqref="C5:O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O3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O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RFM SQL code</vt:lpstr>
      <vt:lpstr>RFM_scores</vt:lpstr>
      <vt:lpstr>RFM_segmentation</vt:lpstr>
      <vt:lpstr>CLV SQL queries</vt:lpstr>
      <vt:lpstr>CLV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Ruta Spaicyte (rs5u19)</dc:creator>
  <cp:lastModifiedBy>Ruta Spaicyte (rs5u19)</cp:lastModifiedBy>
  <dcterms:created xsi:type="dcterms:W3CDTF">2024-09-15T09:27:11Z</dcterms:created>
  <dcterms:modified xsi:type="dcterms:W3CDTF">2025-05-01T17:00:57Z</dcterms:modified>
</cp:coreProperties>
</file>