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ta/Downloads/"/>
    </mc:Choice>
  </mc:AlternateContent>
  <xr:revisionPtr revIDLastSave="0" documentId="8_{BE0690EE-B5C7-6D45-B1DC-54D7B704AB35}" xr6:coauthVersionLast="47" xr6:coauthVersionMax="47" xr10:uidLastSave="{00000000-0000-0000-0000-000000000000}"/>
  <bookViews>
    <workbookView xWindow="0" yWindow="500" windowWidth="28800" windowHeight="17500" activeTab="2" xr2:uid="{F5956513-A4ED-3541-A55E-4AC1C249ABEE}"/>
  </bookViews>
  <sheets>
    <sheet name="SQL code" sheetId="1" r:id="rId1"/>
    <sheet name="SQL output" sheetId="2" r:id="rId2"/>
    <sheet name="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D22" i="3"/>
  <c r="D39" i="3" s="1"/>
  <c r="E22" i="3"/>
  <c r="F22" i="3"/>
  <c r="G22" i="3"/>
  <c r="H22" i="3"/>
  <c r="H39" i="3" s="1"/>
  <c r="C23" i="3"/>
  <c r="D23" i="3"/>
  <c r="E23" i="3"/>
  <c r="F23" i="3"/>
  <c r="G23" i="3"/>
  <c r="H23" i="3"/>
  <c r="C24" i="3"/>
  <c r="D24" i="3"/>
  <c r="E24" i="3"/>
  <c r="F24" i="3"/>
  <c r="F41" i="3" s="1"/>
  <c r="G24" i="3"/>
  <c r="H24" i="3"/>
  <c r="H41" i="3" s="1"/>
  <c r="C25" i="3"/>
  <c r="D25" i="3"/>
  <c r="D42" i="3" s="1"/>
  <c r="E25" i="3"/>
  <c r="F25" i="3"/>
  <c r="F42" i="3" s="1"/>
  <c r="G25" i="3"/>
  <c r="H25" i="3"/>
  <c r="C26" i="3"/>
  <c r="D26" i="3"/>
  <c r="D43" i="3" s="1"/>
  <c r="E26" i="3"/>
  <c r="F26" i="3"/>
  <c r="G26" i="3"/>
  <c r="H26" i="3"/>
  <c r="H43" i="3" s="1"/>
  <c r="C27" i="3"/>
  <c r="D27" i="3"/>
  <c r="D44" i="3" s="1"/>
  <c r="E27" i="3"/>
  <c r="F27" i="3"/>
  <c r="F44" i="3" s="1"/>
  <c r="G27" i="3"/>
  <c r="H27" i="3"/>
  <c r="H44" i="3" s="1"/>
  <c r="C28" i="3"/>
  <c r="D28" i="3"/>
  <c r="D45" i="3" s="1"/>
  <c r="E28" i="3"/>
  <c r="F28" i="3"/>
  <c r="G28" i="3"/>
  <c r="H28" i="3"/>
  <c r="H45" i="3" s="1"/>
  <c r="C29" i="3"/>
  <c r="D29" i="3"/>
  <c r="D46" i="3" s="1"/>
  <c r="E29" i="3"/>
  <c r="F29" i="3"/>
  <c r="F46" i="3" s="1"/>
  <c r="G29" i="3"/>
  <c r="C30" i="3"/>
  <c r="D30" i="3"/>
  <c r="E30" i="3"/>
  <c r="F30" i="3"/>
  <c r="C31" i="3"/>
  <c r="D31" i="3"/>
  <c r="D48" i="3" s="1"/>
  <c r="E31" i="3"/>
  <c r="C32" i="3"/>
  <c r="D32" i="3"/>
  <c r="D49" i="3" s="1"/>
  <c r="C33" i="3"/>
  <c r="B32" i="3"/>
  <c r="B33" i="3"/>
  <c r="B34" i="3"/>
  <c r="B22" i="3"/>
  <c r="B23" i="3"/>
  <c r="B24" i="3"/>
  <c r="B25" i="3"/>
  <c r="B26" i="3"/>
  <c r="B27" i="3"/>
  <c r="B28" i="3"/>
  <c r="B29" i="3"/>
  <c r="B30" i="3"/>
  <c r="B31" i="3"/>
  <c r="D21" i="3"/>
  <c r="E21" i="3"/>
  <c r="F21" i="3"/>
  <c r="F38" i="3" s="1"/>
  <c r="G21" i="3"/>
  <c r="H21" i="3"/>
  <c r="H38" i="3" s="1"/>
  <c r="C21" i="3"/>
  <c r="B21" i="3"/>
  <c r="F39" i="3" l="1"/>
  <c r="D47" i="3"/>
  <c r="D41" i="3"/>
  <c r="F40" i="3"/>
  <c r="E38" i="3"/>
  <c r="E48" i="3"/>
  <c r="E46" i="3"/>
  <c r="G45" i="3"/>
  <c r="E44" i="3"/>
  <c r="G43" i="3"/>
  <c r="E42" i="3"/>
  <c r="G41" i="3"/>
  <c r="E40" i="3"/>
  <c r="G39" i="3"/>
  <c r="D38" i="3"/>
  <c r="F47" i="3"/>
  <c r="F45" i="3"/>
  <c r="F43" i="3"/>
  <c r="H42" i="3"/>
  <c r="H40" i="3"/>
  <c r="D40" i="3"/>
  <c r="G38" i="3"/>
  <c r="C50" i="3"/>
  <c r="C48" i="3"/>
  <c r="E47" i="3"/>
  <c r="G46" i="3"/>
  <c r="C46" i="3"/>
  <c r="E45" i="3"/>
  <c r="G44" i="3"/>
  <c r="C44" i="3"/>
  <c r="E43" i="3"/>
  <c r="G42" i="3"/>
  <c r="C42" i="3"/>
  <c r="E41" i="3"/>
  <c r="G40" i="3"/>
  <c r="C40" i="3"/>
  <c r="E39" i="3"/>
  <c r="C38" i="3"/>
  <c r="C49" i="3"/>
  <c r="C47" i="3"/>
  <c r="C45" i="3"/>
  <c r="C43" i="3"/>
  <c r="C41" i="3"/>
  <c r="C39" i="3"/>
</calcChain>
</file>

<file path=xl/sharedStrings.xml><?xml version="1.0" encoding="utf-8"?>
<sst xmlns="http://schemas.openxmlformats.org/spreadsheetml/2006/main" count="145" uniqueCount="75">
  <si>
    <r>
      <t>WITH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week0_subscriptions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</si>
  <si>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t>-- Number of subscriptions that started in each week (wk0)</t>
  </si>
  <si>
    <r>
      <t>SELECT</t>
    </r>
    <r>
      <rPr>
        <sz val="12"/>
        <color rgb="FF3A474E"/>
        <rFont val="Menlo"/>
        <family val="2"/>
      </rPr>
      <t xml:space="preserve"> </t>
    </r>
  </si>
  <si>
    <r>
      <t>DATE_TRUNC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subscription_start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week_start_date</t>
    </r>
    <r>
      <rPr>
        <sz val="12"/>
        <color rgb="FF3A474E"/>
        <rFont val="Menlo"/>
        <family val="2"/>
      </rPr>
      <t>,</t>
    </r>
  </si>
  <si>
    <r>
      <t>COUNT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user_pseudo_id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count_wk0</t>
    </r>
  </si>
  <si>
    <r>
      <t>FROM</t>
    </r>
    <r>
      <rPr>
        <sz val="12"/>
        <color rgb="FF3A474E"/>
        <rFont val="Menlo"/>
        <family val="2"/>
      </rPr>
      <t xml:space="preserve"> </t>
    </r>
  </si>
  <si>
    <t>turing_data_analytics.subscriptions</t>
  </si>
  <si>
    <r>
      <t>GROUP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BY</t>
    </r>
    <r>
      <rPr>
        <sz val="12"/>
        <color rgb="FF3A474E"/>
        <rFont val="Menlo"/>
        <family val="2"/>
      </rPr>
      <t xml:space="preserve"> </t>
    </r>
  </si>
  <si>
    <t>week_start_date</t>
  </si>
  <si>
    <r>
      <t>)</t>
    </r>
    <r>
      <rPr>
        <sz val="12"/>
        <color rgb="FF3A474E"/>
        <rFont val="Menlo"/>
        <family val="2"/>
      </rPr>
      <t>,</t>
    </r>
  </si>
  <si>
    <t>-- Calculate the number of subscriptions still active in week 1</t>
  </si>
  <si>
    <r>
      <t>week1_subscriptions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</si>
  <si>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r>
      <t>COUNT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user_pseudo_id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count_wk1</t>
    </r>
  </si>
  <si>
    <r>
      <t>WHERE</t>
    </r>
    <r>
      <rPr>
        <sz val="12"/>
        <color rgb="FF3A474E"/>
        <rFont val="Menlo"/>
        <family val="2"/>
      </rPr>
      <t xml:space="preserve"> </t>
    </r>
  </si>
  <si>
    <r>
      <t>(</t>
    </r>
    <r>
      <rPr>
        <sz val="12"/>
        <color rgb="FF000000"/>
        <rFont val="Menlo"/>
        <family val="2"/>
      </rPr>
      <t>subscription_end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IS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</si>
  <si>
    <r>
      <t>OR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subscription_end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DATE_TRUNC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subscription_start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+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INTERVAL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7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DAY</t>
    </r>
    <r>
      <rPr>
        <sz val="12"/>
        <color rgb="FF37474F"/>
        <rFont val="Menlo"/>
        <family val="2"/>
      </rPr>
      <t>)</t>
    </r>
  </si>
  <si>
    <r>
      <t>week2_subscriptions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</si>
  <si>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r>
      <t>COUNT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user_pseudo_id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count_wk2</t>
    </r>
  </si>
  <si>
    <r>
      <t>OR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subscription_end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DATE_TRUNC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subscription_start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+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INTERVAL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14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DAY</t>
    </r>
    <r>
      <rPr>
        <sz val="12"/>
        <color rgb="FF37474F"/>
        <rFont val="Menlo"/>
        <family val="2"/>
      </rPr>
      <t>)</t>
    </r>
  </si>
  <si>
    <r>
      <t>week3_subscriptions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</si>
  <si>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r>
      <t>COUNT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user_pseudo_id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count_wk3</t>
    </r>
  </si>
  <si>
    <r>
      <t>OR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subscription_end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DATE_TRUNC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subscription_start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+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INTERVAL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21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DAY</t>
    </r>
    <r>
      <rPr>
        <sz val="12"/>
        <color rgb="FF37474F"/>
        <rFont val="Menlo"/>
        <family val="2"/>
      </rPr>
      <t>)</t>
    </r>
  </si>
  <si>
    <r>
      <t>week4_subscriptions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</si>
  <si>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r>
      <t>COUNT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user_pseudo_id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count_wk4</t>
    </r>
  </si>
  <si>
    <r>
      <t>OR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subscription_end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DATE_TRUNC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subscription_start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+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INTERVAL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28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DAY</t>
    </r>
    <r>
      <rPr>
        <sz val="12"/>
        <color rgb="FF37474F"/>
        <rFont val="Menlo"/>
        <family val="2"/>
      </rPr>
      <t>)</t>
    </r>
  </si>
  <si>
    <r>
      <t>week5_subscriptions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</si>
  <si>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r>
      <t>COUNT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user_pseudo_id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count_wk5</t>
    </r>
  </si>
  <si>
    <r>
      <t>(</t>
    </r>
    <r>
      <rPr>
        <sz val="12"/>
        <color rgb="FF000000"/>
        <rFont val="Menlo"/>
        <family val="2"/>
      </rPr>
      <t>subscription_end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IS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OR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subscription_end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DATE_TRUNC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subscription_start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+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INTERVAL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35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DAY</t>
    </r>
    <r>
      <rPr>
        <sz val="12"/>
        <color rgb="FF37474F"/>
        <rFont val="Menlo"/>
        <family val="2"/>
      </rPr>
      <t>)</t>
    </r>
  </si>
  <si>
    <r>
      <t>week6_subscriptions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(</t>
    </r>
  </si>
  <si>
    <r>
      <t>COUNT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user_pseudo_id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count_wk6</t>
    </r>
  </si>
  <si>
    <r>
      <t>(</t>
    </r>
    <r>
      <rPr>
        <sz val="12"/>
        <color rgb="FF000000"/>
        <rFont val="Menlo"/>
        <family val="2"/>
      </rPr>
      <t>subscription_end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IS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NULL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OR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subscription_end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&gt;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DATE_TRUNC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subscription_start</t>
    </r>
    <r>
      <rPr>
        <sz val="12"/>
        <color rgb="FF3A474E"/>
        <rFont val="Menlo"/>
        <family val="2"/>
      </rPr>
      <t xml:space="preserve">, </t>
    </r>
    <r>
      <rPr>
        <sz val="12"/>
        <color rgb="FF000000"/>
        <rFont val="Menlo"/>
        <family val="2"/>
      </rPr>
      <t>WEEK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7474F"/>
        <rFont val="Menlo"/>
        <family val="2"/>
      </rPr>
      <t>+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INTERVAL</t>
    </r>
    <r>
      <rPr>
        <sz val="12"/>
        <color rgb="FF3A474E"/>
        <rFont val="Menlo"/>
        <family val="2"/>
      </rPr>
      <t xml:space="preserve"> </t>
    </r>
    <r>
      <rPr>
        <sz val="12"/>
        <color rgb="FFF4511E"/>
        <rFont val="Menlo"/>
        <family val="2"/>
      </rPr>
      <t>42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DAY</t>
    </r>
    <r>
      <rPr>
        <sz val="12"/>
        <color rgb="FF37474F"/>
        <rFont val="Menlo"/>
        <family val="2"/>
      </rPr>
      <t>)</t>
    </r>
  </si>
  <si>
    <t>)</t>
  </si>
  <si>
    <r>
      <t>w0.week_start_date</t>
    </r>
    <r>
      <rPr>
        <sz val="12"/>
        <color rgb="FF3A474E"/>
        <rFont val="Menlo"/>
        <family val="2"/>
      </rPr>
      <t>,</t>
    </r>
  </si>
  <si>
    <r>
      <t>w0.count_wk0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active_wk0</t>
    </r>
    <r>
      <rPr>
        <sz val="12"/>
        <color rgb="FF3A474E"/>
        <rFont val="Menlo"/>
        <family val="2"/>
      </rPr>
      <t>,</t>
    </r>
  </si>
  <si>
    <r>
      <t>COALESCE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w1.count_wk1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active_wk1</t>
    </r>
    <r>
      <rPr>
        <sz val="12"/>
        <color rgb="FF3A474E"/>
        <rFont val="Menlo"/>
        <family val="2"/>
      </rPr>
      <t>,</t>
    </r>
  </si>
  <si>
    <r>
      <t>COALESCE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w2.count_wk2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active_wk2</t>
    </r>
    <r>
      <rPr>
        <sz val="12"/>
        <color rgb="FF3A474E"/>
        <rFont val="Menlo"/>
        <family val="2"/>
      </rPr>
      <t>,</t>
    </r>
  </si>
  <si>
    <r>
      <t>COALESCE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w3.count_wk3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active_wk3</t>
    </r>
    <r>
      <rPr>
        <sz val="12"/>
        <color rgb="FF3A474E"/>
        <rFont val="Menlo"/>
        <family val="2"/>
      </rPr>
      <t>,</t>
    </r>
  </si>
  <si>
    <r>
      <t>COALESCE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w4.count_wk4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active_wk4</t>
    </r>
    <r>
      <rPr>
        <sz val="12"/>
        <color rgb="FF3A474E"/>
        <rFont val="Menlo"/>
        <family val="2"/>
      </rPr>
      <t>,</t>
    </r>
  </si>
  <si>
    <r>
      <t>COALESCE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w5.count_wk5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active_wk5</t>
    </r>
    <r>
      <rPr>
        <sz val="12"/>
        <color rgb="FF3A474E"/>
        <rFont val="Menlo"/>
        <family val="2"/>
      </rPr>
      <t>,</t>
    </r>
  </si>
  <si>
    <r>
      <t>COALESCE</t>
    </r>
    <r>
      <rPr>
        <sz val="12"/>
        <color rgb="FF37474F"/>
        <rFont val="Menlo"/>
        <family val="2"/>
      </rPr>
      <t>(</t>
    </r>
    <r>
      <rPr>
        <sz val="12"/>
        <color rgb="FF000000"/>
        <rFont val="Menlo"/>
        <family val="2"/>
      </rPr>
      <t>w6.count_wk6</t>
    </r>
    <r>
      <rPr>
        <sz val="12"/>
        <color rgb="FF3A474E"/>
        <rFont val="Menlo"/>
        <family val="2"/>
      </rPr>
      <t xml:space="preserve">, </t>
    </r>
    <r>
      <rPr>
        <sz val="12"/>
        <color rgb="FFF4511E"/>
        <rFont val="Menlo"/>
        <family val="2"/>
      </rPr>
      <t>0</t>
    </r>
    <r>
      <rPr>
        <sz val="12"/>
        <color rgb="FF37474F"/>
        <rFont val="Menlo"/>
        <family val="2"/>
      </rPr>
      <t>)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AS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active_wk6</t>
    </r>
  </si>
  <si>
    <r>
      <t>week0_subscriptions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w0</t>
    </r>
  </si>
  <si>
    <r>
      <t>LEFT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JOIN</t>
    </r>
    <r>
      <rPr>
        <sz val="12"/>
        <color rgb="FF3A474E"/>
        <rFont val="Menlo"/>
        <family val="2"/>
      </rPr>
      <t xml:space="preserve"> </t>
    </r>
  </si>
  <si>
    <r>
      <t>week1_subscriptions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w1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ON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w0.week_start_date</t>
    </r>
    <r>
      <rPr>
        <sz val="12"/>
        <color rgb="FF3A474E"/>
        <rFont val="Menlo"/>
        <family val="2"/>
      </rPr>
      <t xml:space="preserve"> = </t>
    </r>
    <r>
      <rPr>
        <sz val="12"/>
        <color rgb="FF000000"/>
        <rFont val="Menlo"/>
        <family val="2"/>
      </rPr>
      <t>w1.week_start_date</t>
    </r>
  </si>
  <si>
    <r>
      <t>week2_subscriptions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w2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ON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w0.week_start_date</t>
    </r>
    <r>
      <rPr>
        <sz val="12"/>
        <color rgb="FF3A474E"/>
        <rFont val="Menlo"/>
        <family val="2"/>
      </rPr>
      <t xml:space="preserve"> = </t>
    </r>
    <r>
      <rPr>
        <sz val="12"/>
        <color rgb="FF000000"/>
        <rFont val="Menlo"/>
        <family val="2"/>
      </rPr>
      <t>w2.week_start_date</t>
    </r>
  </si>
  <si>
    <r>
      <t>week3_subscriptions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w3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ON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w0.week_start_date</t>
    </r>
    <r>
      <rPr>
        <sz val="12"/>
        <color rgb="FF3A474E"/>
        <rFont val="Menlo"/>
        <family val="2"/>
      </rPr>
      <t xml:space="preserve"> = </t>
    </r>
    <r>
      <rPr>
        <sz val="12"/>
        <color rgb="FF000000"/>
        <rFont val="Menlo"/>
        <family val="2"/>
      </rPr>
      <t>w3.week_start_date</t>
    </r>
  </si>
  <si>
    <r>
      <t>week4_subscriptions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w4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ON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w0.week_start_date</t>
    </r>
    <r>
      <rPr>
        <sz val="12"/>
        <color rgb="FF3A474E"/>
        <rFont val="Menlo"/>
        <family val="2"/>
      </rPr>
      <t xml:space="preserve"> = </t>
    </r>
    <r>
      <rPr>
        <sz val="12"/>
        <color rgb="FF000000"/>
        <rFont val="Menlo"/>
        <family val="2"/>
      </rPr>
      <t>w4.week_start_date</t>
    </r>
  </si>
  <si>
    <r>
      <t>week5_subscriptions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w5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ON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w0.week_start_date</t>
    </r>
    <r>
      <rPr>
        <sz val="12"/>
        <color rgb="FF3A474E"/>
        <rFont val="Menlo"/>
        <family val="2"/>
      </rPr>
      <t xml:space="preserve"> = </t>
    </r>
    <r>
      <rPr>
        <sz val="12"/>
        <color rgb="FF000000"/>
        <rFont val="Menlo"/>
        <family val="2"/>
      </rPr>
      <t>w5.week_start_date</t>
    </r>
  </si>
  <si>
    <r>
      <t>week6_subscriptions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w6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ON</t>
    </r>
    <r>
      <rPr>
        <sz val="12"/>
        <color rgb="FF3A474E"/>
        <rFont val="Menlo"/>
        <family val="2"/>
      </rPr>
      <t xml:space="preserve"> </t>
    </r>
    <r>
      <rPr>
        <sz val="12"/>
        <color rgb="FF000000"/>
        <rFont val="Menlo"/>
        <family val="2"/>
      </rPr>
      <t>w0.week_start_date</t>
    </r>
    <r>
      <rPr>
        <sz val="12"/>
        <color rgb="FF3A474E"/>
        <rFont val="Menlo"/>
        <family val="2"/>
      </rPr>
      <t xml:space="preserve"> = </t>
    </r>
    <r>
      <rPr>
        <sz val="12"/>
        <color rgb="FF000000"/>
        <rFont val="Menlo"/>
        <family val="2"/>
      </rPr>
      <t>w6.week_start_date</t>
    </r>
  </si>
  <si>
    <r>
      <t>ORDER</t>
    </r>
    <r>
      <rPr>
        <sz val="12"/>
        <color rgb="FF3A474E"/>
        <rFont val="Menlo"/>
        <family val="2"/>
      </rPr>
      <t xml:space="preserve"> </t>
    </r>
    <r>
      <rPr>
        <sz val="12"/>
        <color rgb="FF3367D6"/>
        <rFont val="Menlo"/>
        <family val="2"/>
      </rPr>
      <t>BY</t>
    </r>
    <r>
      <rPr>
        <sz val="12"/>
        <color rgb="FF3A474E"/>
        <rFont val="Menlo"/>
        <family val="2"/>
      </rPr>
      <t xml:space="preserve"> </t>
    </r>
  </si>
  <si>
    <r>
      <t>w0.week_start_date</t>
    </r>
    <r>
      <rPr>
        <sz val="12"/>
        <color rgb="FF3A474E"/>
        <rFont val="Menlo"/>
        <family val="2"/>
      </rPr>
      <t>;</t>
    </r>
  </si>
  <si>
    <t>active_wk0</t>
  </si>
  <si>
    <t>active_wk1</t>
  </si>
  <si>
    <t>active_wk2</t>
  </si>
  <si>
    <t>active_wk3</t>
  </si>
  <si>
    <t>active_wk4</t>
  </si>
  <si>
    <t>active_wk5</t>
  </si>
  <si>
    <t>active_wk6</t>
  </si>
  <si>
    <t>Week start day</t>
  </si>
  <si>
    <t>Active after 1 week</t>
  </si>
  <si>
    <t>Active after 2 weeks</t>
  </si>
  <si>
    <t>Active after 3 weeks</t>
  </si>
  <si>
    <t xml:space="preserve">Subscribtions joining this week </t>
  </si>
  <si>
    <t>Active after 4 weeks</t>
  </si>
  <si>
    <t>Active after 5 weeks</t>
  </si>
  <si>
    <t>Active after 6 weeks</t>
  </si>
  <si>
    <t>Week 0</t>
  </si>
  <si>
    <t>Weekly subscribtions churn &amp; retention analysis</t>
  </si>
  <si>
    <t>Retention rate</t>
  </si>
  <si>
    <t>Churn (difference from previous week)</t>
  </si>
  <si>
    <t>after 2 weeks</t>
  </si>
  <si>
    <t>after 1 week</t>
  </si>
  <si>
    <t>after 3 weeks</t>
  </si>
  <si>
    <t>after 4 weeks</t>
  </si>
  <si>
    <t>after 5 weeks</t>
  </si>
  <si>
    <t>after 6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</si>
</sst>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0.0%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3A474E"/>
      <name val="Menlo"/>
      <family val="2"/>
    </font>
    <font>
      <sz val="12"/>
      <color rgb="FF3367D6"/>
      <name val="Menlo"/>
      <family val="2"/>
    </font>
    <font>
      <sz val="12"/>
      <color rgb="FF000000"/>
      <name val="Menlo"/>
      <family val="2"/>
    </font>
    <font>
      <sz val="12"/>
      <color rgb="FF37474F"/>
      <name val="Menlo"/>
      <family val="2"/>
    </font>
    <font>
      <sz val="12"/>
      <color rgb="FFD81B60"/>
      <name val="Menlo"/>
      <family val="2"/>
    </font>
    <font>
      <sz val="12"/>
      <color rgb="FFF4511E"/>
      <name val="Menlo"/>
      <family val="2"/>
    </font>
    <font>
      <sz val="12"/>
      <color rgb="FF000000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5" fillId="0" borderId="0" xfId="0" applyFont="1"/>
    <xf numFmtId="0" fontId="8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165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left"/>
    </xf>
    <xf numFmtId="9" fontId="0" fillId="0" borderId="0" xfId="2" applyFont="1"/>
    <xf numFmtId="9" fontId="0" fillId="0" borderId="0" xfId="0" applyNumberFormat="1"/>
    <xf numFmtId="164" fontId="10" fillId="0" borderId="0" xfId="0" applyNumberFormat="1" applyFont="1" applyAlignment="1">
      <alignment horizontal="left"/>
    </xf>
    <xf numFmtId="166" fontId="0" fillId="0" borderId="0" xfId="0" applyNumberFormat="1"/>
    <xf numFmtId="166" fontId="2" fillId="0" borderId="0" xfId="0" applyNumberFormat="1" applyFont="1"/>
    <xf numFmtId="3" fontId="0" fillId="0" borderId="0" xfId="0" applyNumberFormat="1"/>
    <xf numFmtId="0" fontId="11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40AC-210E-1C4A-AAE4-EFB439881272}">
  <dimension ref="B1:B113"/>
  <sheetViews>
    <sheetView workbookViewId="0">
      <selection activeCell="B11" sqref="B11"/>
    </sheetView>
  </sheetViews>
  <sheetFormatPr baseColWidth="10" defaultRowHeight="16" x14ac:dyDescent="0.2"/>
  <cols>
    <col min="2" max="2" width="125" bestFit="1" customWidth="1"/>
  </cols>
  <sheetData>
    <row r="1" spans="2:2" x14ac:dyDescent="0.2">
      <c r="B1" s="1" t="s">
        <v>0</v>
      </c>
    </row>
    <row r="2" spans="2:2" x14ac:dyDescent="0.2">
      <c r="B2" s="2" t="s">
        <v>1</v>
      </c>
    </row>
    <row r="3" spans="2:2" x14ac:dyDescent="0.2">
      <c r="B3" s="1" t="s">
        <v>2</v>
      </c>
    </row>
    <row r="4" spans="2:2" x14ac:dyDescent="0.2">
      <c r="B4" s="1" t="s">
        <v>3</v>
      </c>
    </row>
    <row r="5" spans="2:2" x14ac:dyDescent="0.2">
      <c r="B5" s="1" t="s">
        <v>4</v>
      </c>
    </row>
    <row r="6" spans="2:2" x14ac:dyDescent="0.2">
      <c r="B6" s="1" t="s">
        <v>5</v>
      </c>
    </row>
    <row r="7" spans="2:2" x14ac:dyDescent="0.2">
      <c r="B7" s="3" t="s">
        <v>6</v>
      </c>
    </row>
    <row r="8" spans="2:2" x14ac:dyDescent="0.2">
      <c r="B8" s="1" t="s">
        <v>7</v>
      </c>
    </row>
    <row r="9" spans="2:2" x14ac:dyDescent="0.2">
      <c r="B9" s="3" t="s">
        <v>8</v>
      </c>
    </row>
    <row r="10" spans="2:2" x14ac:dyDescent="0.2">
      <c r="B10" s="4" t="s">
        <v>9</v>
      </c>
    </row>
    <row r="11" spans="2:2" x14ac:dyDescent="0.2">
      <c r="B11" s="2" t="s">
        <v>10</v>
      </c>
    </row>
    <row r="12" spans="2:2" x14ac:dyDescent="0.2">
      <c r="B12" s="3" t="s">
        <v>11</v>
      </c>
    </row>
    <row r="13" spans="2:2" x14ac:dyDescent="0.2">
      <c r="B13" s="1" t="s">
        <v>2</v>
      </c>
    </row>
    <row r="14" spans="2:2" x14ac:dyDescent="0.2">
      <c r="B14" s="1" t="s">
        <v>3</v>
      </c>
    </row>
    <row r="15" spans="2:2" x14ac:dyDescent="0.2">
      <c r="B15" s="1" t="s">
        <v>12</v>
      </c>
    </row>
    <row r="16" spans="2:2" x14ac:dyDescent="0.2">
      <c r="B16" s="1" t="s">
        <v>5</v>
      </c>
    </row>
    <row r="17" spans="2:2" x14ac:dyDescent="0.2">
      <c r="B17" s="3" t="s">
        <v>6</v>
      </c>
    </row>
    <row r="18" spans="2:2" x14ac:dyDescent="0.2">
      <c r="B18" s="1" t="s">
        <v>13</v>
      </c>
    </row>
    <row r="19" spans="2:2" x14ac:dyDescent="0.2">
      <c r="B19" s="4" t="s">
        <v>14</v>
      </c>
    </row>
    <row r="20" spans="2:2" x14ac:dyDescent="0.2">
      <c r="B20" s="1" t="s">
        <v>15</v>
      </c>
    </row>
    <row r="21" spans="2:2" x14ac:dyDescent="0.2">
      <c r="B21" s="1" t="s">
        <v>7</v>
      </c>
    </row>
    <row r="22" spans="2:2" x14ac:dyDescent="0.2">
      <c r="B22" s="3" t="s">
        <v>8</v>
      </c>
    </row>
    <row r="23" spans="2:2" x14ac:dyDescent="0.2">
      <c r="B23" s="4" t="s">
        <v>9</v>
      </c>
    </row>
    <row r="25" spans="2:2" x14ac:dyDescent="0.2">
      <c r="B25" s="3" t="s">
        <v>16</v>
      </c>
    </row>
    <row r="26" spans="2:2" x14ac:dyDescent="0.2">
      <c r="B26" s="1" t="s">
        <v>2</v>
      </c>
    </row>
    <row r="27" spans="2:2" x14ac:dyDescent="0.2">
      <c r="B27" s="1" t="s">
        <v>3</v>
      </c>
    </row>
    <row r="28" spans="2:2" x14ac:dyDescent="0.2">
      <c r="B28" s="1" t="s">
        <v>17</v>
      </c>
    </row>
    <row r="29" spans="2:2" x14ac:dyDescent="0.2">
      <c r="B29" s="1" t="s">
        <v>5</v>
      </c>
    </row>
    <row r="30" spans="2:2" x14ac:dyDescent="0.2">
      <c r="B30" s="3" t="s">
        <v>6</v>
      </c>
    </row>
    <row r="31" spans="2:2" x14ac:dyDescent="0.2">
      <c r="B31" s="1" t="s">
        <v>13</v>
      </c>
    </row>
    <row r="32" spans="2:2" x14ac:dyDescent="0.2">
      <c r="B32" s="4" t="s">
        <v>14</v>
      </c>
    </row>
    <row r="33" spans="2:2" x14ac:dyDescent="0.2">
      <c r="B33" s="1" t="s">
        <v>18</v>
      </c>
    </row>
    <row r="34" spans="2:2" x14ac:dyDescent="0.2">
      <c r="B34" s="1" t="s">
        <v>7</v>
      </c>
    </row>
    <row r="35" spans="2:2" x14ac:dyDescent="0.2">
      <c r="B35" s="3" t="s">
        <v>8</v>
      </c>
    </row>
    <row r="36" spans="2:2" x14ac:dyDescent="0.2">
      <c r="B36" s="4" t="s">
        <v>9</v>
      </c>
    </row>
    <row r="38" spans="2:2" x14ac:dyDescent="0.2">
      <c r="B38" s="3" t="s">
        <v>19</v>
      </c>
    </row>
    <row r="39" spans="2:2" x14ac:dyDescent="0.2">
      <c r="B39" s="1" t="s">
        <v>2</v>
      </c>
    </row>
    <row r="40" spans="2:2" x14ac:dyDescent="0.2">
      <c r="B40" s="1" t="s">
        <v>3</v>
      </c>
    </row>
    <row r="41" spans="2:2" x14ac:dyDescent="0.2">
      <c r="B41" s="1" t="s">
        <v>20</v>
      </c>
    </row>
    <row r="42" spans="2:2" x14ac:dyDescent="0.2">
      <c r="B42" s="1" t="s">
        <v>5</v>
      </c>
    </row>
    <row r="43" spans="2:2" x14ac:dyDescent="0.2">
      <c r="B43" s="3" t="s">
        <v>6</v>
      </c>
    </row>
    <row r="44" spans="2:2" x14ac:dyDescent="0.2">
      <c r="B44" s="1" t="s">
        <v>13</v>
      </c>
    </row>
    <row r="45" spans="2:2" x14ac:dyDescent="0.2">
      <c r="B45" s="4" t="s">
        <v>14</v>
      </c>
    </row>
    <row r="46" spans="2:2" x14ac:dyDescent="0.2">
      <c r="B46" s="1" t="s">
        <v>21</v>
      </c>
    </row>
    <row r="47" spans="2:2" x14ac:dyDescent="0.2">
      <c r="B47" s="1" t="s">
        <v>7</v>
      </c>
    </row>
    <row r="48" spans="2:2" x14ac:dyDescent="0.2">
      <c r="B48" s="3" t="s">
        <v>8</v>
      </c>
    </row>
    <row r="49" spans="2:2" x14ac:dyDescent="0.2">
      <c r="B49" s="4" t="s">
        <v>9</v>
      </c>
    </row>
    <row r="51" spans="2:2" x14ac:dyDescent="0.2">
      <c r="B51" s="3" t="s">
        <v>22</v>
      </c>
    </row>
    <row r="52" spans="2:2" x14ac:dyDescent="0.2">
      <c r="B52" s="1" t="s">
        <v>2</v>
      </c>
    </row>
    <row r="53" spans="2:2" x14ac:dyDescent="0.2">
      <c r="B53" s="1" t="s">
        <v>3</v>
      </c>
    </row>
    <row r="54" spans="2:2" x14ac:dyDescent="0.2">
      <c r="B54" s="1" t="s">
        <v>23</v>
      </c>
    </row>
    <row r="55" spans="2:2" x14ac:dyDescent="0.2">
      <c r="B55" s="1" t="s">
        <v>5</v>
      </c>
    </row>
    <row r="56" spans="2:2" x14ac:dyDescent="0.2">
      <c r="B56" s="3" t="s">
        <v>6</v>
      </c>
    </row>
    <row r="57" spans="2:2" x14ac:dyDescent="0.2">
      <c r="B57" s="1" t="s">
        <v>13</v>
      </c>
    </row>
    <row r="58" spans="2:2" x14ac:dyDescent="0.2">
      <c r="B58" s="4" t="s">
        <v>14</v>
      </c>
    </row>
    <row r="59" spans="2:2" x14ac:dyDescent="0.2">
      <c r="B59" s="1" t="s">
        <v>24</v>
      </c>
    </row>
    <row r="60" spans="2:2" x14ac:dyDescent="0.2">
      <c r="B60" s="1" t="s">
        <v>7</v>
      </c>
    </row>
    <row r="61" spans="2:2" x14ac:dyDescent="0.2">
      <c r="B61" s="3" t="s">
        <v>8</v>
      </c>
    </row>
    <row r="62" spans="2:2" x14ac:dyDescent="0.2">
      <c r="B62" s="4" t="s">
        <v>9</v>
      </c>
    </row>
    <row r="64" spans="2:2" x14ac:dyDescent="0.2">
      <c r="B64" s="3" t="s">
        <v>25</v>
      </c>
    </row>
    <row r="65" spans="2:2" x14ac:dyDescent="0.2">
      <c r="B65" s="1" t="s">
        <v>2</v>
      </c>
    </row>
    <row r="66" spans="2:2" x14ac:dyDescent="0.2">
      <c r="B66" s="1" t="s">
        <v>3</v>
      </c>
    </row>
    <row r="67" spans="2:2" x14ac:dyDescent="0.2">
      <c r="B67" s="1" t="s">
        <v>26</v>
      </c>
    </row>
    <row r="68" spans="2:2" x14ac:dyDescent="0.2">
      <c r="B68" s="1" t="s">
        <v>5</v>
      </c>
    </row>
    <row r="69" spans="2:2" x14ac:dyDescent="0.2">
      <c r="B69" s="3" t="s">
        <v>6</v>
      </c>
    </row>
    <row r="70" spans="2:2" x14ac:dyDescent="0.2">
      <c r="B70" s="1" t="s">
        <v>13</v>
      </c>
    </row>
    <row r="71" spans="2:2" x14ac:dyDescent="0.2">
      <c r="B71" s="4" t="s">
        <v>27</v>
      </c>
    </row>
    <row r="72" spans="2:2" x14ac:dyDescent="0.2">
      <c r="B72" s="1" t="s">
        <v>7</v>
      </c>
    </row>
    <row r="73" spans="2:2" x14ac:dyDescent="0.2">
      <c r="B73" s="3" t="s">
        <v>8</v>
      </c>
    </row>
    <row r="74" spans="2:2" x14ac:dyDescent="0.2">
      <c r="B74" s="4" t="s">
        <v>9</v>
      </c>
    </row>
    <row r="76" spans="2:2" x14ac:dyDescent="0.2">
      <c r="B76" s="3" t="s">
        <v>28</v>
      </c>
    </row>
    <row r="77" spans="2:2" x14ac:dyDescent="0.2">
      <c r="B77" s="1" t="s">
        <v>2</v>
      </c>
    </row>
    <row r="78" spans="2:2" x14ac:dyDescent="0.2">
      <c r="B78" s="1" t="s">
        <v>3</v>
      </c>
    </row>
    <row r="79" spans="2:2" x14ac:dyDescent="0.2">
      <c r="B79" s="1" t="s">
        <v>29</v>
      </c>
    </row>
    <row r="80" spans="2:2" x14ac:dyDescent="0.2">
      <c r="B80" s="1" t="s">
        <v>5</v>
      </c>
    </row>
    <row r="81" spans="2:2" x14ac:dyDescent="0.2">
      <c r="B81" s="3" t="s">
        <v>6</v>
      </c>
    </row>
    <row r="82" spans="2:2" x14ac:dyDescent="0.2">
      <c r="B82" s="1" t="s">
        <v>13</v>
      </c>
    </row>
    <row r="83" spans="2:2" x14ac:dyDescent="0.2">
      <c r="B83" s="4" t="s">
        <v>30</v>
      </c>
    </row>
    <row r="84" spans="2:2" x14ac:dyDescent="0.2">
      <c r="B84" s="1" t="s">
        <v>7</v>
      </c>
    </row>
    <row r="85" spans="2:2" x14ac:dyDescent="0.2">
      <c r="B85" s="3" t="s">
        <v>8</v>
      </c>
    </row>
    <row r="86" spans="2:2" x14ac:dyDescent="0.2">
      <c r="B86" s="4" t="s">
        <v>31</v>
      </c>
    </row>
    <row r="89" spans="2:2" x14ac:dyDescent="0.2">
      <c r="B89" s="1" t="s">
        <v>2</v>
      </c>
    </row>
    <row r="90" spans="2:2" x14ac:dyDescent="0.2">
      <c r="B90" s="3" t="s">
        <v>32</v>
      </c>
    </row>
    <row r="91" spans="2:2" x14ac:dyDescent="0.2">
      <c r="B91" s="3" t="s">
        <v>33</v>
      </c>
    </row>
    <row r="92" spans="2:2" x14ac:dyDescent="0.2">
      <c r="B92" s="1" t="s">
        <v>34</v>
      </c>
    </row>
    <row r="93" spans="2:2" x14ac:dyDescent="0.2">
      <c r="B93" s="1" t="s">
        <v>35</v>
      </c>
    </row>
    <row r="94" spans="2:2" x14ac:dyDescent="0.2">
      <c r="B94" s="1" t="s">
        <v>36</v>
      </c>
    </row>
    <row r="95" spans="2:2" x14ac:dyDescent="0.2">
      <c r="B95" s="1" t="s">
        <v>37</v>
      </c>
    </row>
    <row r="96" spans="2:2" x14ac:dyDescent="0.2">
      <c r="B96" s="1" t="s">
        <v>38</v>
      </c>
    </row>
    <row r="97" spans="2:2" x14ac:dyDescent="0.2">
      <c r="B97" s="1" t="s">
        <v>39</v>
      </c>
    </row>
    <row r="98" spans="2:2" x14ac:dyDescent="0.2">
      <c r="B98" s="1" t="s">
        <v>5</v>
      </c>
    </row>
    <row r="99" spans="2:2" x14ac:dyDescent="0.2">
      <c r="B99" s="3" t="s">
        <v>40</v>
      </c>
    </row>
    <row r="100" spans="2:2" x14ac:dyDescent="0.2">
      <c r="B100" s="1" t="s">
        <v>41</v>
      </c>
    </row>
    <row r="101" spans="2:2" x14ac:dyDescent="0.2">
      <c r="B101" s="3" t="s">
        <v>42</v>
      </c>
    </row>
    <row r="102" spans="2:2" x14ac:dyDescent="0.2">
      <c r="B102" s="1" t="s">
        <v>41</v>
      </c>
    </row>
    <row r="103" spans="2:2" x14ac:dyDescent="0.2">
      <c r="B103" s="3" t="s">
        <v>43</v>
      </c>
    </row>
    <row r="104" spans="2:2" x14ac:dyDescent="0.2">
      <c r="B104" s="1" t="s">
        <v>41</v>
      </c>
    </row>
    <row r="105" spans="2:2" x14ac:dyDescent="0.2">
      <c r="B105" s="3" t="s">
        <v>44</v>
      </c>
    </row>
    <row r="106" spans="2:2" x14ac:dyDescent="0.2">
      <c r="B106" s="1" t="s">
        <v>41</v>
      </c>
    </row>
    <row r="107" spans="2:2" x14ac:dyDescent="0.2">
      <c r="B107" s="3" t="s">
        <v>45</v>
      </c>
    </row>
    <row r="108" spans="2:2" x14ac:dyDescent="0.2">
      <c r="B108" s="1" t="s">
        <v>41</v>
      </c>
    </row>
    <row r="109" spans="2:2" x14ac:dyDescent="0.2">
      <c r="B109" s="3" t="s">
        <v>46</v>
      </c>
    </row>
    <row r="110" spans="2:2" x14ac:dyDescent="0.2">
      <c r="B110" s="1" t="s">
        <v>41</v>
      </c>
    </row>
    <row r="111" spans="2:2" x14ac:dyDescent="0.2">
      <c r="B111" s="3" t="s">
        <v>47</v>
      </c>
    </row>
    <row r="112" spans="2:2" x14ac:dyDescent="0.2">
      <c r="B112" s="1" t="s">
        <v>48</v>
      </c>
    </row>
    <row r="113" spans="2:2" x14ac:dyDescent="0.2">
      <c r="B113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6E68-1854-3C40-922A-E90F7FB4FBF5}">
  <dimension ref="A1:H15"/>
  <sheetViews>
    <sheetView workbookViewId="0">
      <selection activeCell="G25" sqref="G25"/>
    </sheetView>
  </sheetViews>
  <sheetFormatPr baseColWidth="10" defaultRowHeight="16" x14ac:dyDescent="0.2"/>
  <sheetData>
    <row r="1" spans="1:8" x14ac:dyDescent="0.2">
      <c r="A1" t="s">
        <v>8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 x14ac:dyDescent="0.2">
      <c r="A2" s="5">
        <v>44136</v>
      </c>
      <c r="B2">
        <v>20085</v>
      </c>
      <c r="C2">
        <v>18779</v>
      </c>
      <c r="D2">
        <v>18059</v>
      </c>
      <c r="E2">
        <v>17654</v>
      </c>
      <c r="F2">
        <v>17429</v>
      </c>
      <c r="G2">
        <v>17201</v>
      </c>
      <c r="H2">
        <v>17014</v>
      </c>
    </row>
    <row r="3" spans="1:8" x14ac:dyDescent="0.2">
      <c r="A3" s="5">
        <v>44143</v>
      </c>
      <c r="B3">
        <v>16248</v>
      </c>
      <c r="C3">
        <v>15182</v>
      </c>
      <c r="D3">
        <v>14505</v>
      </c>
      <c r="E3">
        <v>14240</v>
      </c>
      <c r="F3">
        <v>14036</v>
      </c>
      <c r="G3">
        <v>13839</v>
      </c>
      <c r="H3">
        <v>13749</v>
      </c>
    </row>
    <row r="4" spans="1:8" x14ac:dyDescent="0.2">
      <c r="A4" s="5">
        <v>44150</v>
      </c>
      <c r="B4">
        <v>17972</v>
      </c>
      <c r="C4">
        <v>16767</v>
      </c>
      <c r="D4">
        <v>16170</v>
      </c>
      <c r="E4">
        <v>15847</v>
      </c>
      <c r="F4">
        <v>15609</v>
      </c>
      <c r="G4">
        <v>15451</v>
      </c>
      <c r="H4">
        <v>15387</v>
      </c>
    </row>
    <row r="5" spans="1:8" x14ac:dyDescent="0.2">
      <c r="A5" s="5">
        <v>44157</v>
      </c>
      <c r="B5">
        <v>19932</v>
      </c>
      <c r="C5">
        <v>18659</v>
      </c>
      <c r="D5">
        <v>18009</v>
      </c>
      <c r="E5">
        <v>17647</v>
      </c>
      <c r="F5">
        <v>17427</v>
      </c>
      <c r="G5">
        <v>17337</v>
      </c>
      <c r="H5">
        <v>17311</v>
      </c>
    </row>
    <row r="6" spans="1:8" x14ac:dyDescent="0.2">
      <c r="A6" s="5">
        <v>44164</v>
      </c>
      <c r="B6">
        <v>22303</v>
      </c>
      <c r="C6">
        <v>20960</v>
      </c>
      <c r="D6">
        <v>20157</v>
      </c>
      <c r="E6">
        <v>19802</v>
      </c>
      <c r="F6">
        <v>19682</v>
      </c>
      <c r="G6">
        <v>19634</v>
      </c>
      <c r="H6">
        <v>19576</v>
      </c>
    </row>
    <row r="7" spans="1:8" x14ac:dyDescent="0.2">
      <c r="A7" s="5">
        <v>44171</v>
      </c>
      <c r="B7">
        <v>28550</v>
      </c>
      <c r="C7">
        <v>27008</v>
      </c>
      <c r="D7">
        <v>26282</v>
      </c>
      <c r="E7">
        <v>26086</v>
      </c>
      <c r="F7">
        <v>26006</v>
      </c>
      <c r="G7">
        <v>25880</v>
      </c>
      <c r="H7">
        <v>25812</v>
      </c>
    </row>
    <row r="8" spans="1:8" x14ac:dyDescent="0.2">
      <c r="A8" s="5">
        <v>44178</v>
      </c>
      <c r="B8">
        <v>25545</v>
      </c>
      <c r="C8">
        <v>24305</v>
      </c>
      <c r="D8">
        <v>23809</v>
      </c>
      <c r="E8">
        <v>23734</v>
      </c>
      <c r="F8">
        <v>23615</v>
      </c>
      <c r="G8">
        <v>23527</v>
      </c>
      <c r="H8">
        <v>23465</v>
      </c>
    </row>
    <row r="9" spans="1:8" x14ac:dyDescent="0.2">
      <c r="A9" s="5">
        <v>44185</v>
      </c>
      <c r="B9">
        <v>18190</v>
      </c>
      <c r="C9">
        <v>17515</v>
      </c>
      <c r="D9">
        <v>17293</v>
      </c>
      <c r="E9">
        <v>17186</v>
      </c>
      <c r="F9">
        <v>17100</v>
      </c>
      <c r="G9">
        <v>17034</v>
      </c>
      <c r="H9">
        <v>16989</v>
      </c>
    </row>
    <row r="10" spans="1:8" x14ac:dyDescent="0.2">
      <c r="A10" s="5">
        <v>44192</v>
      </c>
      <c r="B10">
        <v>17060</v>
      </c>
      <c r="C10">
        <v>16412</v>
      </c>
      <c r="D10">
        <v>16117</v>
      </c>
      <c r="E10">
        <v>15960</v>
      </c>
      <c r="F10">
        <v>15861</v>
      </c>
      <c r="G10">
        <v>15771</v>
      </c>
      <c r="H10">
        <v>15771</v>
      </c>
    </row>
    <row r="11" spans="1:8" x14ac:dyDescent="0.2">
      <c r="A11" s="5">
        <v>44199</v>
      </c>
      <c r="B11">
        <v>23296</v>
      </c>
      <c r="C11">
        <v>22264</v>
      </c>
      <c r="D11">
        <v>21722</v>
      </c>
      <c r="E11">
        <v>21479</v>
      </c>
      <c r="F11">
        <v>21308</v>
      </c>
      <c r="G11">
        <v>21308</v>
      </c>
      <c r="H11">
        <v>21308</v>
      </c>
    </row>
    <row r="12" spans="1:8" x14ac:dyDescent="0.2">
      <c r="A12" s="5">
        <v>44206</v>
      </c>
      <c r="B12">
        <v>21811</v>
      </c>
      <c r="C12">
        <v>20820</v>
      </c>
      <c r="D12">
        <v>20236</v>
      </c>
      <c r="E12">
        <v>19987</v>
      </c>
      <c r="F12">
        <v>19987</v>
      </c>
      <c r="G12">
        <v>19987</v>
      </c>
      <c r="H12">
        <v>19987</v>
      </c>
    </row>
    <row r="13" spans="1:8" x14ac:dyDescent="0.2">
      <c r="A13" s="5">
        <v>44213</v>
      </c>
      <c r="B13">
        <v>21083</v>
      </c>
      <c r="C13">
        <v>19979</v>
      </c>
      <c r="D13">
        <v>19279</v>
      </c>
      <c r="E13">
        <v>19279</v>
      </c>
      <c r="F13">
        <v>19279</v>
      </c>
      <c r="G13">
        <v>19279</v>
      </c>
      <c r="H13">
        <v>19279</v>
      </c>
    </row>
    <row r="14" spans="1:8" x14ac:dyDescent="0.2">
      <c r="A14" s="5">
        <v>44220</v>
      </c>
      <c r="B14">
        <v>20031</v>
      </c>
      <c r="C14">
        <v>18793</v>
      </c>
      <c r="D14">
        <v>18793</v>
      </c>
      <c r="E14">
        <v>18793</v>
      </c>
      <c r="F14">
        <v>18793</v>
      </c>
      <c r="G14">
        <v>18793</v>
      </c>
      <c r="H14">
        <v>18793</v>
      </c>
    </row>
    <row r="15" spans="1:8" x14ac:dyDescent="0.2">
      <c r="A15" s="5">
        <v>44227</v>
      </c>
      <c r="B15">
        <v>2256</v>
      </c>
      <c r="C15">
        <v>2256</v>
      </c>
      <c r="D15">
        <v>2256</v>
      </c>
      <c r="E15">
        <v>2256</v>
      </c>
      <c r="F15">
        <v>2256</v>
      </c>
      <c r="G15">
        <v>2256</v>
      </c>
      <c r="H15">
        <v>2256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037F-44AC-F144-A099-B23E7C8F616E}">
  <dimension ref="A1:Q52"/>
  <sheetViews>
    <sheetView tabSelected="1" zoomScaleNormal="100" workbookViewId="0">
      <selection activeCell="J20" sqref="J20"/>
    </sheetView>
  </sheetViews>
  <sheetFormatPr baseColWidth="10" defaultRowHeight="16" x14ac:dyDescent="0.2"/>
  <cols>
    <col min="1" max="8" width="15.83203125" customWidth="1"/>
    <col min="9" max="9" width="7" customWidth="1"/>
    <col min="10" max="17" width="13.5" customWidth="1"/>
  </cols>
  <sheetData>
    <row r="1" spans="1:17" ht="40" customHeight="1" x14ac:dyDescent="0.55000000000000004">
      <c r="A1" s="17" t="s">
        <v>66</v>
      </c>
      <c r="B1" s="17"/>
      <c r="C1" s="17"/>
    </row>
    <row r="2" spans="1:17" s="6" customFormat="1" ht="34" x14ac:dyDescent="0.2">
      <c r="A2" s="8" t="s">
        <v>57</v>
      </c>
      <c r="B2" s="9" t="s">
        <v>61</v>
      </c>
      <c r="C2" s="9" t="s">
        <v>58</v>
      </c>
      <c r="D2" s="9" t="s">
        <v>59</v>
      </c>
      <c r="E2" s="9" t="s">
        <v>60</v>
      </c>
      <c r="F2" s="9" t="s">
        <v>62</v>
      </c>
      <c r="G2" s="9" t="s">
        <v>63</v>
      </c>
      <c r="H2" s="9" t="s">
        <v>64</v>
      </c>
      <c r="K2" s="9" t="s">
        <v>65</v>
      </c>
      <c r="L2" s="9" t="s">
        <v>58</v>
      </c>
      <c r="M2" s="9" t="s">
        <v>59</v>
      </c>
      <c r="N2" s="9" t="s">
        <v>60</v>
      </c>
      <c r="O2" s="9" t="s">
        <v>62</v>
      </c>
      <c r="P2" s="9" t="s">
        <v>63</v>
      </c>
      <c r="Q2" s="9" t="s">
        <v>64</v>
      </c>
    </row>
    <row r="3" spans="1:17" x14ac:dyDescent="0.2">
      <c r="A3" s="10">
        <v>44136</v>
      </c>
      <c r="B3" s="7">
        <v>20085</v>
      </c>
      <c r="C3" s="7">
        <v>18779</v>
      </c>
      <c r="D3" s="7">
        <v>18059</v>
      </c>
      <c r="E3" s="7">
        <v>17654</v>
      </c>
      <c r="F3" s="7">
        <v>17429</v>
      </c>
      <c r="G3" s="7">
        <v>17201</v>
      </c>
      <c r="H3" s="7">
        <v>17014</v>
      </c>
      <c r="J3" s="10">
        <v>44136</v>
      </c>
      <c r="K3" s="16">
        <v>20085</v>
      </c>
      <c r="L3" s="16">
        <v>18779</v>
      </c>
      <c r="M3" s="16">
        <v>18059</v>
      </c>
      <c r="N3" s="16">
        <v>17654</v>
      </c>
      <c r="O3" s="16">
        <v>17429</v>
      </c>
      <c r="P3" s="16">
        <v>17201</v>
      </c>
      <c r="Q3" s="16">
        <v>17014</v>
      </c>
    </row>
    <row r="4" spans="1:17" x14ac:dyDescent="0.2">
      <c r="A4" s="10">
        <v>44143</v>
      </c>
      <c r="B4" s="7">
        <v>16248</v>
      </c>
      <c r="C4" s="7">
        <v>15182</v>
      </c>
      <c r="D4" s="7">
        <v>14505</v>
      </c>
      <c r="E4" s="7">
        <v>14240</v>
      </c>
      <c r="F4" s="7">
        <v>14036</v>
      </c>
      <c r="G4" s="7">
        <v>13839</v>
      </c>
      <c r="H4" s="7">
        <v>13749</v>
      </c>
      <c r="J4" s="10">
        <v>44143</v>
      </c>
      <c r="K4" s="16">
        <v>16248</v>
      </c>
      <c r="L4" s="16">
        <v>15182</v>
      </c>
      <c r="M4" s="16">
        <v>14505</v>
      </c>
      <c r="N4" s="16">
        <v>14240</v>
      </c>
      <c r="O4" s="16">
        <v>14036</v>
      </c>
      <c r="P4" s="16">
        <v>13839</v>
      </c>
      <c r="Q4" s="16">
        <v>13749</v>
      </c>
    </row>
    <row r="5" spans="1:17" x14ac:dyDescent="0.2">
      <c r="A5" s="10">
        <v>44150</v>
      </c>
      <c r="B5" s="7">
        <v>17972</v>
      </c>
      <c r="C5" s="7">
        <v>16767</v>
      </c>
      <c r="D5" s="7">
        <v>16170</v>
      </c>
      <c r="E5" s="7">
        <v>15847</v>
      </c>
      <c r="F5" s="7">
        <v>15609</v>
      </c>
      <c r="G5" s="7">
        <v>15451</v>
      </c>
      <c r="H5" s="7">
        <v>15387</v>
      </c>
      <c r="J5" s="10">
        <v>44150</v>
      </c>
      <c r="K5" s="16">
        <v>17972</v>
      </c>
      <c r="L5" s="16">
        <v>16767</v>
      </c>
      <c r="M5" s="16">
        <v>16170</v>
      </c>
      <c r="N5" s="16">
        <v>15847</v>
      </c>
      <c r="O5" s="16">
        <v>15609</v>
      </c>
      <c r="P5" s="16">
        <v>15451</v>
      </c>
      <c r="Q5" s="16">
        <v>15387</v>
      </c>
    </row>
    <row r="6" spans="1:17" x14ac:dyDescent="0.2">
      <c r="A6" s="10">
        <v>44157</v>
      </c>
      <c r="B6" s="7">
        <v>19932</v>
      </c>
      <c r="C6" s="7">
        <v>18659</v>
      </c>
      <c r="D6" s="7">
        <v>18009</v>
      </c>
      <c r="E6" s="7">
        <v>17647</v>
      </c>
      <c r="F6" s="7">
        <v>17427</v>
      </c>
      <c r="G6" s="7">
        <v>17337</v>
      </c>
      <c r="H6" s="7">
        <v>17311</v>
      </c>
      <c r="J6" s="10">
        <v>44157</v>
      </c>
      <c r="K6" s="16">
        <v>19932</v>
      </c>
      <c r="L6" s="16">
        <v>18659</v>
      </c>
      <c r="M6" s="16">
        <v>18009</v>
      </c>
      <c r="N6" s="16">
        <v>17647</v>
      </c>
      <c r="O6" s="16">
        <v>17427</v>
      </c>
      <c r="P6" s="16">
        <v>17337</v>
      </c>
      <c r="Q6" s="16">
        <v>17311</v>
      </c>
    </row>
    <row r="7" spans="1:17" x14ac:dyDescent="0.2">
      <c r="A7" s="10">
        <v>44164</v>
      </c>
      <c r="B7" s="7">
        <v>22303</v>
      </c>
      <c r="C7" s="7">
        <v>20960</v>
      </c>
      <c r="D7" s="7">
        <v>20157</v>
      </c>
      <c r="E7" s="7">
        <v>19802</v>
      </c>
      <c r="F7" s="7">
        <v>19682</v>
      </c>
      <c r="G7" s="7">
        <v>19634</v>
      </c>
      <c r="H7" s="7">
        <v>19576</v>
      </c>
      <c r="J7" s="10">
        <v>44164</v>
      </c>
      <c r="K7" s="16">
        <v>22303</v>
      </c>
      <c r="L7" s="16">
        <v>20960</v>
      </c>
      <c r="M7" s="16">
        <v>20157</v>
      </c>
      <c r="N7" s="16">
        <v>19802</v>
      </c>
      <c r="O7" s="16">
        <v>19682</v>
      </c>
      <c r="P7" s="16">
        <v>19634</v>
      </c>
      <c r="Q7" s="16">
        <v>19576</v>
      </c>
    </row>
    <row r="8" spans="1:17" x14ac:dyDescent="0.2">
      <c r="A8" s="10">
        <v>44171</v>
      </c>
      <c r="B8" s="7">
        <v>28550</v>
      </c>
      <c r="C8" s="7">
        <v>27008</v>
      </c>
      <c r="D8" s="7">
        <v>26282</v>
      </c>
      <c r="E8" s="7">
        <v>26086</v>
      </c>
      <c r="F8" s="7">
        <v>26006</v>
      </c>
      <c r="G8" s="7">
        <v>25880</v>
      </c>
      <c r="H8" s="7">
        <v>25812</v>
      </c>
      <c r="J8" s="10">
        <v>44171</v>
      </c>
      <c r="K8" s="16">
        <v>28550</v>
      </c>
      <c r="L8" s="16">
        <v>27008</v>
      </c>
      <c r="M8" s="16">
        <v>26282</v>
      </c>
      <c r="N8" s="16">
        <v>26086</v>
      </c>
      <c r="O8" s="16">
        <v>26006</v>
      </c>
      <c r="P8" s="16">
        <v>25880</v>
      </c>
      <c r="Q8" s="16">
        <v>25812</v>
      </c>
    </row>
    <row r="9" spans="1:17" x14ac:dyDescent="0.2">
      <c r="A9" s="10">
        <v>44178</v>
      </c>
      <c r="B9" s="7">
        <v>25545</v>
      </c>
      <c r="C9" s="7">
        <v>24305</v>
      </c>
      <c r="D9" s="7">
        <v>23809</v>
      </c>
      <c r="E9" s="7">
        <v>23734</v>
      </c>
      <c r="F9" s="7">
        <v>23615</v>
      </c>
      <c r="G9" s="7">
        <v>23527</v>
      </c>
      <c r="H9" s="7">
        <v>23465</v>
      </c>
      <c r="J9" s="10">
        <v>44178</v>
      </c>
      <c r="K9" s="16">
        <v>25545</v>
      </c>
      <c r="L9" s="16">
        <v>24305</v>
      </c>
      <c r="M9" s="16">
        <v>23809</v>
      </c>
      <c r="N9" s="16">
        <v>23734</v>
      </c>
      <c r="O9" s="16">
        <v>23615</v>
      </c>
      <c r="P9" s="16">
        <v>23527</v>
      </c>
      <c r="Q9" s="16">
        <v>23465</v>
      </c>
    </row>
    <row r="10" spans="1:17" x14ac:dyDescent="0.2">
      <c r="A10" s="10">
        <v>44185</v>
      </c>
      <c r="B10" s="7">
        <v>18190</v>
      </c>
      <c r="C10" s="7">
        <v>17515</v>
      </c>
      <c r="D10" s="7">
        <v>17293</v>
      </c>
      <c r="E10" s="7">
        <v>17186</v>
      </c>
      <c r="F10" s="7">
        <v>17100</v>
      </c>
      <c r="G10" s="7">
        <v>17034</v>
      </c>
      <c r="H10" s="7">
        <v>16989</v>
      </c>
      <c r="J10" s="10">
        <v>44185</v>
      </c>
      <c r="K10" s="16">
        <v>18190</v>
      </c>
      <c r="L10" s="16">
        <v>17515</v>
      </c>
      <c r="M10" s="16">
        <v>17293</v>
      </c>
      <c r="N10" s="16">
        <v>17186</v>
      </c>
      <c r="O10" s="16">
        <v>17100</v>
      </c>
      <c r="P10" s="16">
        <v>17034</v>
      </c>
      <c r="Q10" s="16">
        <v>16989</v>
      </c>
    </row>
    <row r="11" spans="1:17" x14ac:dyDescent="0.2">
      <c r="A11" s="10">
        <v>44192</v>
      </c>
      <c r="B11" s="7">
        <v>17060</v>
      </c>
      <c r="C11" s="7">
        <v>16412</v>
      </c>
      <c r="D11" s="7">
        <v>16117</v>
      </c>
      <c r="E11" s="7">
        <v>15960</v>
      </c>
      <c r="F11" s="7">
        <v>15861</v>
      </c>
      <c r="G11" s="7">
        <v>15771</v>
      </c>
      <c r="H11" s="7">
        <v>15771</v>
      </c>
      <c r="J11" s="10">
        <v>44192</v>
      </c>
      <c r="K11" s="16">
        <v>17060</v>
      </c>
      <c r="L11" s="16">
        <v>16412</v>
      </c>
      <c r="M11" s="16">
        <v>16117</v>
      </c>
      <c r="N11" s="16">
        <v>15960</v>
      </c>
      <c r="O11" s="16">
        <v>15861</v>
      </c>
      <c r="P11" s="16">
        <v>15771</v>
      </c>
      <c r="Q11" s="16">
        <v>15771</v>
      </c>
    </row>
    <row r="12" spans="1:17" x14ac:dyDescent="0.2">
      <c r="A12" s="10">
        <v>44199</v>
      </c>
      <c r="B12" s="7">
        <v>23296</v>
      </c>
      <c r="C12" s="7">
        <v>22264</v>
      </c>
      <c r="D12" s="7">
        <v>21722</v>
      </c>
      <c r="E12" s="7">
        <v>21479</v>
      </c>
      <c r="F12" s="7">
        <v>21308</v>
      </c>
      <c r="G12" s="7">
        <v>21308</v>
      </c>
      <c r="H12" s="7">
        <v>21308</v>
      </c>
      <c r="J12" s="10">
        <v>44199</v>
      </c>
      <c r="K12" s="16">
        <v>23296</v>
      </c>
      <c r="L12" s="16">
        <v>22264</v>
      </c>
      <c r="M12" s="16">
        <v>21722</v>
      </c>
      <c r="N12" s="16">
        <v>21479</v>
      </c>
      <c r="O12" s="16">
        <v>21308</v>
      </c>
      <c r="P12" s="16">
        <v>21308</v>
      </c>
      <c r="Q12" s="16">
        <v>21308</v>
      </c>
    </row>
    <row r="13" spans="1:17" x14ac:dyDescent="0.2">
      <c r="A13" s="10">
        <v>44206</v>
      </c>
      <c r="B13" s="7">
        <v>21811</v>
      </c>
      <c r="C13" s="7">
        <v>20820</v>
      </c>
      <c r="D13" s="7">
        <v>20236</v>
      </c>
      <c r="E13" s="7">
        <v>19987</v>
      </c>
      <c r="F13" s="7">
        <v>19987</v>
      </c>
      <c r="G13" s="7">
        <v>19987</v>
      </c>
      <c r="H13" s="7">
        <v>19987</v>
      </c>
      <c r="J13" s="10">
        <v>44206</v>
      </c>
      <c r="K13" s="16">
        <v>21811</v>
      </c>
      <c r="L13" s="16">
        <v>20820</v>
      </c>
      <c r="M13" s="16">
        <v>20236</v>
      </c>
      <c r="N13" s="16">
        <v>19987</v>
      </c>
      <c r="O13" s="16">
        <v>19987</v>
      </c>
      <c r="P13" s="16">
        <v>19987</v>
      </c>
      <c r="Q13" s="16">
        <v>19987</v>
      </c>
    </row>
    <row r="14" spans="1:17" x14ac:dyDescent="0.2">
      <c r="A14" s="10">
        <v>44213</v>
      </c>
      <c r="B14" s="7">
        <v>21083</v>
      </c>
      <c r="C14" s="7">
        <v>19979</v>
      </c>
      <c r="D14" s="7">
        <v>19279</v>
      </c>
      <c r="E14" s="7">
        <v>19279</v>
      </c>
      <c r="F14" s="7">
        <v>19279</v>
      </c>
      <c r="G14" s="7">
        <v>19279</v>
      </c>
      <c r="H14" s="7">
        <v>19279</v>
      </c>
      <c r="J14" s="10">
        <v>44213</v>
      </c>
      <c r="K14" s="16">
        <v>21083</v>
      </c>
      <c r="L14" s="16">
        <v>19979</v>
      </c>
      <c r="M14" s="16">
        <v>19279</v>
      </c>
      <c r="N14" s="16">
        <v>19279</v>
      </c>
      <c r="O14" s="16">
        <v>19279</v>
      </c>
      <c r="P14" s="16">
        <v>19279</v>
      </c>
      <c r="Q14" s="16">
        <v>19279</v>
      </c>
    </row>
    <row r="15" spans="1:17" x14ac:dyDescent="0.2">
      <c r="A15" s="10">
        <v>44220</v>
      </c>
      <c r="B15" s="7">
        <v>20031</v>
      </c>
      <c r="C15" s="7">
        <v>18793</v>
      </c>
      <c r="D15" s="7">
        <v>18793</v>
      </c>
      <c r="E15" s="7">
        <v>18793</v>
      </c>
      <c r="F15" s="7">
        <v>18793</v>
      </c>
      <c r="G15" s="7">
        <v>18793</v>
      </c>
      <c r="H15" s="7">
        <v>18793</v>
      </c>
      <c r="J15" s="10">
        <v>44220</v>
      </c>
      <c r="K15" s="16">
        <v>20031</v>
      </c>
      <c r="L15" s="16">
        <v>18793</v>
      </c>
      <c r="M15" s="16">
        <v>18793</v>
      </c>
      <c r="N15" s="16">
        <v>18793</v>
      </c>
      <c r="O15" s="16">
        <v>18793</v>
      </c>
      <c r="P15" s="16">
        <v>18793</v>
      </c>
      <c r="Q15" s="16">
        <v>18793</v>
      </c>
    </row>
    <row r="16" spans="1:17" x14ac:dyDescent="0.2">
      <c r="A16" s="10">
        <v>44227</v>
      </c>
      <c r="B16" s="7">
        <v>2256</v>
      </c>
      <c r="C16" s="7">
        <v>2256</v>
      </c>
      <c r="D16" s="7">
        <v>2256</v>
      </c>
      <c r="E16" s="7">
        <v>2256</v>
      </c>
      <c r="F16" s="7">
        <v>2256</v>
      </c>
      <c r="G16" s="7">
        <v>2256</v>
      </c>
      <c r="H16" s="7">
        <v>2256</v>
      </c>
      <c r="J16" s="10">
        <v>44227</v>
      </c>
      <c r="K16" s="16">
        <v>2256</v>
      </c>
      <c r="L16" s="16">
        <v>2256</v>
      </c>
      <c r="M16" s="16">
        <v>2256</v>
      </c>
      <c r="N16" s="16">
        <v>2256</v>
      </c>
      <c r="O16" s="16">
        <v>2256</v>
      </c>
      <c r="P16" s="16">
        <v>2256</v>
      </c>
      <c r="Q16" s="16">
        <v>2256</v>
      </c>
    </row>
    <row r="20" spans="1:8" ht="34" x14ac:dyDescent="0.2">
      <c r="A20" s="18" t="s">
        <v>67</v>
      </c>
      <c r="B20" s="9" t="s">
        <v>61</v>
      </c>
      <c r="C20" s="9" t="s">
        <v>58</v>
      </c>
      <c r="D20" s="9" t="s">
        <v>59</v>
      </c>
      <c r="E20" s="9" t="s">
        <v>60</v>
      </c>
      <c r="F20" s="9" t="s">
        <v>62</v>
      </c>
      <c r="G20" s="9" t="s">
        <v>63</v>
      </c>
      <c r="H20" s="9" t="s">
        <v>64</v>
      </c>
    </row>
    <row r="21" spans="1:8" x14ac:dyDescent="0.2">
      <c r="A21" s="10">
        <v>44136</v>
      </c>
      <c r="B21" s="11">
        <f t="shared" ref="B21:B34" si="0">B3/B3</f>
        <v>1</v>
      </c>
      <c r="C21" s="11">
        <f>C3/$B3</f>
        <v>0.93497635051033112</v>
      </c>
      <c r="D21" s="11">
        <f t="shared" ref="D21:H21" si="1">D3/$B3</f>
        <v>0.89912870301219816</v>
      </c>
      <c r="E21" s="11">
        <f t="shared" si="1"/>
        <v>0.87896440129449838</v>
      </c>
      <c r="F21" s="11">
        <f t="shared" si="1"/>
        <v>0.86776201145133181</v>
      </c>
      <c r="G21" s="11">
        <f t="shared" si="1"/>
        <v>0.85641025641025637</v>
      </c>
      <c r="H21" s="11">
        <f t="shared" si="1"/>
        <v>0.84709982574060239</v>
      </c>
    </row>
    <row r="22" spans="1:8" x14ac:dyDescent="0.2">
      <c r="A22" s="10">
        <v>44143</v>
      </c>
      <c r="B22" s="11">
        <f t="shared" si="0"/>
        <v>1</v>
      </c>
      <c r="C22" s="11">
        <f t="shared" ref="C22:H22" si="2">C4/$B4</f>
        <v>0.93439192516001968</v>
      </c>
      <c r="D22" s="11">
        <f t="shared" si="2"/>
        <v>0.89272525849335305</v>
      </c>
      <c r="E22" s="11">
        <f t="shared" si="2"/>
        <v>0.87641555883801081</v>
      </c>
      <c r="F22" s="11">
        <f t="shared" si="2"/>
        <v>0.86386016740521909</v>
      </c>
      <c r="G22" s="11">
        <f t="shared" si="2"/>
        <v>0.85173559822747413</v>
      </c>
      <c r="H22" s="11">
        <f t="shared" si="2"/>
        <v>0.84619645494830131</v>
      </c>
    </row>
    <row r="23" spans="1:8" x14ac:dyDescent="0.2">
      <c r="A23" s="10">
        <v>44150</v>
      </c>
      <c r="B23" s="11">
        <f t="shared" si="0"/>
        <v>1</v>
      </c>
      <c r="C23" s="11">
        <f t="shared" ref="C23:H23" si="3">C5/$B5</f>
        <v>0.93295125751168484</v>
      </c>
      <c r="D23" s="11">
        <f t="shared" si="3"/>
        <v>0.89973291787224574</v>
      </c>
      <c r="E23" s="11">
        <f t="shared" si="3"/>
        <v>0.88176051635878028</v>
      </c>
      <c r="F23" s="11">
        <f t="shared" si="3"/>
        <v>0.8685176941909637</v>
      </c>
      <c r="G23" s="11">
        <f t="shared" si="3"/>
        <v>0.85972624081905191</v>
      </c>
      <c r="H23" s="11">
        <f t="shared" si="3"/>
        <v>0.85616514578232805</v>
      </c>
    </row>
    <row r="24" spans="1:8" x14ac:dyDescent="0.2">
      <c r="A24" s="10">
        <v>44157</v>
      </c>
      <c r="B24" s="11">
        <f t="shared" si="0"/>
        <v>1</v>
      </c>
      <c r="C24" s="11">
        <f t="shared" ref="C24:H24" si="4">C6/$B6</f>
        <v>0.93613285169576566</v>
      </c>
      <c r="D24" s="11">
        <f t="shared" si="4"/>
        <v>0.90352197471402773</v>
      </c>
      <c r="E24" s="11">
        <f t="shared" si="4"/>
        <v>0.88536022476419829</v>
      </c>
      <c r="F24" s="11">
        <f t="shared" si="4"/>
        <v>0.87432269717037925</v>
      </c>
      <c r="G24" s="11">
        <f t="shared" si="4"/>
        <v>0.8698073449729079</v>
      </c>
      <c r="H24" s="11">
        <f t="shared" si="4"/>
        <v>0.86850290989363832</v>
      </c>
    </row>
    <row r="25" spans="1:8" x14ac:dyDescent="0.2">
      <c r="A25" s="10">
        <v>44164</v>
      </c>
      <c r="B25" s="11">
        <f t="shared" si="0"/>
        <v>1</v>
      </c>
      <c r="C25" s="11">
        <f t="shared" ref="C25:H25" si="5">C7/$B7</f>
        <v>0.93978388557593151</v>
      </c>
      <c r="D25" s="11">
        <f t="shared" si="5"/>
        <v>0.90377976057032683</v>
      </c>
      <c r="E25" s="11">
        <f t="shared" si="5"/>
        <v>0.88786261937855893</v>
      </c>
      <c r="F25" s="11">
        <f t="shared" si="5"/>
        <v>0.88248217728556699</v>
      </c>
      <c r="G25" s="11">
        <f t="shared" si="5"/>
        <v>0.88033000044837018</v>
      </c>
      <c r="H25" s="11">
        <f t="shared" si="5"/>
        <v>0.87772945343675735</v>
      </c>
    </row>
    <row r="26" spans="1:8" x14ac:dyDescent="0.2">
      <c r="A26" s="10">
        <v>44171</v>
      </c>
      <c r="B26" s="11">
        <f t="shared" si="0"/>
        <v>1</v>
      </c>
      <c r="C26" s="11">
        <f t="shared" ref="C26:H26" si="6">C8/$B8</f>
        <v>0.94598949211908934</v>
      </c>
      <c r="D26" s="11">
        <f t="shared" si="6"/>
        <v>0.92056042031523644</v>
      </c>
      <c r="E26" s="11">
        <f t="shared" si="6"/>
        <v>0.9136952714535902</v>
      </c>
      <c r="F26" s="11">
        <f t="shared" si="6"/>
        <v>0.91089316987740809</v>
      </c>
      <c r="G26" s="11">
        <f t="shared" si="6"/>
        <v>0.90647985989492119</v>
      </c>
      <c r="H26" s="11">
        <f t="shared" si="6"/>
        <v>0.90409807355516636</v>
      </c>
    </row>
    <row r="27" spans="1:8" x14ac:dyDescent="0.2">
      <c r="A27" s="10">
        <v>44178</v>
      </c>
      <c r="B27" s="11">
        <f t="shared" si="0"/>
        <v>1</v>
      </c>
      <c r="C27" s="11">
        <f t="shared" ref="C27:H27" si="7">C9/$B9</f>
        <v>0.95145821100019579</v>
      </c>
      <c r="D27" s="11">
        <f t="shared" si="7"/>
        <v>0.93204149540027403</v>
      </c>
      <c r="E27" s="11">
        <f t="shared" si="7"/>
        <v>0.92910550009786652</v>
      </c>
      <c r="F27" s="11">
        <f t="shared" si="7"/>
        <v>0.92444705421804663</v>
      </c>
      <c r="G27" s="11">
        <f t="shared" si="7"/>
        <v>0.92100215306322175</v>
      </c>
      <c r="H27" s="11">
        <f t="shared" si="7"/>
        <v>0.9185750636132316</v>
      </c>
    </row>
    <row r="28" spans="1:8" x14ac:dyDescent="0.2">
      <c r="A28" s="10">
        <v>44185</v>
      </c>
      <c r="B28" s="11">
        <f t="shared" si="0"/>
        <v>1</v>
      </c>
      <c r="C28" s="11">
        <f t="shared" ref="C28:H28" si="8">C10/$B10</f>
        <v>0.96289169873556901</v>
      </c>
      <c r="D28" s="11">
        <f t="shared" si="8"/>
        <v>0.95068719076415609</v>
      </c>
      <c r="E28" s="11">
        <f t="shared" si="8"/>
        <v>0.94480483782297964</v>
      </c>
      <c r="F28" s="11">
        <f t="shared" si="8"/>
        <v>0.94007696536558549</v>
      </c>
      <c r="G28" s="11">
        <f t="shared" si="8"/>
        <v>0.93644859813084114</v>
      </c>
      <c r="H28" s="11">
        <f t="shared" si="8"/>
        <v>0.93397471137987909</v>
      </c>
    </row>
    <row r="29" spans="1:8" x14ac:dyDescent="0.2">
      <c r="A29" s="10">
        <v>44192</v>
      </c>
      <c r="B29" s="11">
        <f t="shared" si="0"/>
        <v>1</v>
      </c>
      <c r="C29" s="11">
        <f t="shared" ref="C29:G29" si="9">C11/$B11</f>
        <v>0.96201641266119575</v>
      </c>
      <c r="D29" s="11">
        <f t="shared" si="9"/>
        <v>0.94472450175849942</v>
      </c>
      <c r="E29" s="11">
        <f t="shared" si="9"/>
        <v>0.93552168815943726</v>
      </c>
      <c r="F29" s="11">
        <f t="shared" si="9"/>
        <v>0.92971864009378669</v>
      </c>
      <c r="G29" s="11">
        <f t="shared" si="9"/>
        <v>0.92444314185228604</v>
      </c>
      <c r="H29" s="11"/>
    </row>
    <row r="30" spans="1:8" x14ac:dyDescent="0.2">
      <c r="A30" s="10">
        <v>44199</v>
      </c>
      <c r="B30" s="11">
        <f t="shared" si="0"/>
        <v>1</v>
      </c>
      <c r="C30" s="11">
        <f t="shared" ref="C30:F30" si="10">C12/$B12</f>
        <v>0.9557005494505495</v>
      </c>
      <c r="D30" s="11">
        <f t="shared" si="10"/>
        <v>0.93243475274725274</v>
      </c>
      <c r="E30" s="11">
        <f t="shared" si="10"/>
        <v>0.92200377747252749</v>
      </c>
      <c r="F30" s="11">
        <f t="shared" si="10"/>
        <v>0.91466346153846156</v>
      </c>
      <c r="G30" s="11"/>
      <c r="H30" s="11"/>
    </row>
    <row r="31" spans="1:8" x14ac:dyDescent="0.2">
      <c r="A31" s="10">
        <v>44206</v>
      </c>
      <c r="B31" s="11">
        <f t="shared" si="0"/>
        <v>1</v>
      </c>
      <c r="C31" s="11">
        <f t="shared" ref="C31:E31" si="11">C13/$B13</f>
        <v>0.95456421071936182</v>
      </c>
      <c r="D31" s="11">
        <f t="shared" si="11"/>
        <v>0.92778873045710875</v>
      </c>
      <c r="E31" s="11">
        <f t="shared" si="11"/>
        <v>0.91637247260556598</v>
      </c>
      <c r="F31" s="11"/>
      <c r="G31" s="11"/>
      <c r="H31" s="11"/>
    </row>
    <row r="32" spans="1:8" x14ac:dyDescent="0.2">
      <c r="A32" s="10">
        <v>44213</v>
      </c>
      <c r="B32" s="11">
        <f t="shared" si="0"/>
        <v>1</v>
      </c>
      <c r="C32" s="11">
        <f t="shared" ref="C32:D32" si="12">C14/$B14</f>
        <v>0.9476355357396955</v>
      </c>
      <c r="D32" s="11">
        <f t="shared" si="12"/>
        <v>0.91443342977754594</v>
      </c>
      <c r="E32" s="11"/>
      <c r="F32" s="11"/>
      <c r="G32" s="11"/>
      <c r="H32" s="11"/>
    </row>
    <row r="33" spans="1:8" x14ac:dyDescent="0.2">
      <c r="A33" s="10">
        <v>44220</v>
      </c>
      <c r="B33" s="11">
        <f t="shared" si="0"/>
        <v>1</v>
      </c>
      <c r="C33" s="11">
        <f t="shared" ref="C33" si="13">C15/$B15</f>
        <v>0.93819579651540108</v>
      </c>
      <c r="D33" s="11"/>
      <c r="E33" s="11"/>
      <c r="F33" s="11"/>
      <c r="G33" s="11"/>
      <c r="H33" s="11"/>
    </row>
    <row r="34" spans="1:8" x14ac:dyDescent="0.2">
      <c r="A34" s="10">
        <v>44227</v>
      </c>
      <c r="B34" s="11">
        <f t="shared" si="0"/>
        <v>1</v>
      </c>
      <c r="C34" s="11"/>
      <c r="D34" s="11"/>
      <c r="E34" s="11"/>
      <c r="F34" s="11"/>
      <c r="G34" s="11"/>
      <c r="H34" s="11"/>
    </row>
    <row r="37" spans="1:8" ht="51" customHeight="1" x14ac:dyDescent="0.2">
      <c r="A37" s="19" t="s">
        <v>68</v>
      </c>
      <c r="B37" s="19"/>
      <c r="C37" s="9" t="s">
        <v>70</v>
      </c>
      <c r="D37" s="9" t="s">
        <v>69</v>
      </c>
      <c r="E37" s="9" t="s">
        <v>71</v>
      </c>
      <c r="F37" s="9" t="s">
        <v>72</v>
      </c>
      <c r="G37" s="9" t="s">
        <v>73</v>
      </c>
      <c r="H37" s="9" t="s">
        <v>74</v>
      </c>
    </row>
    <row r="38" spans="1:8" x14ac:dyDescent="0.2">
      <c r="A38" s="13">
        <v>44136</v>
      </c>
      <c r="B38" s="14">
        <v>0</v>
      </c>
      <c r="C38" s="14">
        <f>C21-B21</f>
        <v>-6.5023649489668878E-2</v>
      </c>
      <c r="D38" s="14">
        <f t="shared" ref="D38:H38" si="14">D21-C21</f>
        <v>-3.5847647498132962E-2</v>
      </c>
      <c r="E38" s="14">
        <f t="shared" si="14"/>
        <v>-2.0164301717699784E-2</v>
      </c>
      <c r="F38" s="14">
        <f t="shared" si="14"/>
        <v>-1.1202389843166571E-2</v>
      </c>
      <c r="G38" s="14">
        <f t="shared" si="14"/>
        <v>-1.135175504107544E-2</v>
      </c>
      <c r="H38" s="14">
        <f t="shared" si="14"/>
        <v>-9.3104306696539796E-3</v>
      </c>
    </row>
    <row r="39" spans="1:8" x14ac:dyDescent="0.2">
      <c r="A39" s="13">
        <v>44143</v>
      </c>
      <c r="B39" s="14">
        <v>0</v>
      </c>
      <c r="C39" s="14">
        <f t="shared" ref="C39:H39" si="15">C22-B22</f>
        <v>-6.5608074839980324E-2</v>
      </c>
      <c r="D39" s="14">
        <f t="shared" si="15"/>
        <v>-4.166666666666663E-2</v>
      </c>
      <c r="E39" s="14">
        <f t="shared" si="15"/>
        <v>-1.6309699655342236E-2</v>
      </c>
      <c r="F39" s="14">
        <f t="shared" si="15"/>
        <v>-1.2555391432791718E-2</v>
      </c>
      <c r="G39" s="14">
        <f t="shared" si="15"/>
        <v>-1.2124569177744959E-2</v>
      </c>
      <c r="H39" s="14">
        <f t="shared" si="15"/>
        <v>-5.5391432791728201E-3</v>
      </c>
    </row>
    <row r="40" spans="1:8" x14ac:dyDescent="0.2">
      <c r="A40" s="13">
        <v>44150</v>
      </c>
      <c r="B40" s="14">
        <v>0</v>
      </c>
      <c r="C40" s="14">
        <f t="shared" ref="C40:H40" si="16">C23-B23</f>
        <v>-6.7048742488315161E-2</v>
      </c>
      <c r="D40" s="14">
        <f t="shared" si="16"/>
        <v>-3.3218339639439098E-2</v>
      </c>
      <c r="E40" s="14">
        <f t="shared" si="16"/>
        <v>-1.7972401513465464E-2</v>
      </c>
      <c r="F40" s="14">
        <f t="shared" si="16"/>
        <v>-1.3242822167816581E-2</v>
      </c>
      <c r="G40" s="14">
        <f t="shared" si="16"/>
        <v>-8.7914533719117838E-3</v>
      </c>
      <c r="H40" s="14">
        <f t="shared" si="16"/>
        <v>-3.5610950367238603E-3</v>
      </c>
    </row>
    <row r="41" spans="1:8" x14ac:dyDescent="0.2">
      <c r="A41" s="13">
        <v>44157</v>
      </c>
      <c r="B41" s="14">
        <v>0</v>
      </c>
      <c r="C41" s="14">
        <f t="shared" ref="C41:H41" si="17">C24-B24</f>
        <v>-6.3867148304234345E-2</v>
      </c>
      <c r="D41" s="14">
        <f t="shared" si="17"/>
        <v>-3.2610876981737924E-2</v>
      </c>
      <c r="E41" s="14">
        <f t="shared" si="17"/>
        <v>-1.8161749949829442E-2</v>
      </c>
      <c r="F41" s="14">
        <f t="shared" si="17"/>
        <v>-1.1037527593819041E-2</v>
      </c>
      <c r="G41" s="14">
        <f t="shared" si="17"/>
        <v>-4.5153521974713451E-3</v>
      </c>
      <c r="H41" s="14">
        <f t="shared" si="17"/>
        <v>-1.3044350792695836E-3</v>
      </c>
    </row>
    <row r="42" spans="1:8" x14ac:dyDescent="0.2">
      <c r="A42" s="13">
        <v>44164</v>
      </c>
      <c r="B42" s="14">
        <v>0</v>
      </c>
      <c r="C42" s="14">
        <f t="shared" ref="C42:H42" si="18">C25-B25</f>
        <v>-6.021611442406849E-2</v>
      </c>
      <c r="D42" s="14">
        <f t="shared" si="18"/>
        <v>-3.6004125005604681E-2</v>
      </c>
      <c r="E42" s="14">
        <f t="shared" si="18"/>
        <v>-1.5917141191767903E-2</v>
      </c>
      <c r="F42" s="14">
        <f t="shared" si="18"/>
        <v>-5.3804420929919328E-3</v>
      </c>
      <c r="G42" s="14">
        <f t="shared" si="18"/>
        <v>-2.1521768371968175E-3</v>
      </c>
      <c r="H42" s="14">
        <f t="shared" si="18"/>
        <v>-2.6005470116128304E-3</v>
      </c>
    </row>
    <row r="43" spans="1:8" x14ac:dyDescent="0.2">
      <c r="A43" s="13">
        <v>44171</v>
      </c>
      <c r="B43" s="14">
        <v>0</v>
      </c>
      <c r="C43" s="14">
        <f t="shared" ref="C43:H43" si="19">C26-B26</f>
        <v>-5.4010507880910663E-2</v>
      </c>
      <c r="D43" s="14">
        <f t="shared" si="19"/>
        <v>-2.5429071803852898E-2</v>
      </c>
      <c r="E43" s="14">
        <f t="shared" si="19"/>
        <v>-6.8651488616462419E-3</v>
      </c>
      <c r="F43" s="14">
        <f t="shared" si="19"/>
        <v>-2.8021015761821033E-3</v>
      </c>
      <c r="G43" s="14">
        <f t="shared" si="19"/>
        <v>-4.4133099824869015E-3</v>
      </c>
      <c r="H43" s="14">
        <f t="shared" si="19"/>
        <v>-2.3817863397548322E-3</v>
      </c>
    </row>
    <row r="44" spans="1:8" x14ac:dyDescent="0.2">
      <c r="A44" s="13">
        <v>44178</v>
      </c>
      <c r="B44" s="14">
        <v>0</v>
      </c>
      <c r="C44" s="14">
        <f t="shared" ref="C44:H44" si="20">C27-B27</f>
        <v>-4.8541788999804214E-2</v>
      </c>
      <c r="D44" s="14">
        <f t="shared" si="20"/>
        <v>-1.9416715599921752E-2</v>
      </c>
      <c r="E44" s="14">
        <f t="shared" si="20"/>
        <v>-2.9359953024075125E-3</v>
      </c>
      <c r="F44" s="14">
        <f t="shared" si="20"/>
        <v>-4.6584458798198947E-3</v>
      </c>
      <c r="G44" s="14">
        <f t="shared" si="20"/>
        <v>-3.4449011548248754E-3</v>
      </c>
      <c r="H44" s="14">
        <f t="shared" si="20"/>
        <v>-2.4270894499901496E-3</v>
      </c>
    </row>
    <row r="45" spans="1:8" x14ac:dyDescent="0.2">
      <c r="A45" s="13">
        <v>44185</v>
      </c>
      <c r="B45" s="14">
        <v>0</v>
      </c>
      <c r="C45" s="14">
        <f t="shared" ref="C45:H45" si="21">C28-B28</f>
        <v>-3.7108301264430987E-2</v>
      </c>
      <c r="D45" s="14">
        <f t="shared" si="21"/>
        <v>-1.2204507971412926E-2</v>
      </c>
      <c r="E45" s="14">
        <f t="shared" si="21"/>
        <v>-5.8823529411764497E-3</v>
      </c>
      <c r="F45" s="14">
        <f t="shared" si="21"/>
        <v>-4.7278724573941444E-3</v>
      </c>
      <c r="G45" s="14">
        <f t="shared" si="21"/>
        <v>-3.6283672347443563E-3</v>
      </c>
      <c r="H45" s="14">
        <f t="shared" si="21"/>
        <v>-2.473886750962051E-3</v>
      </c>
    </row>
    <row r="46" spans="1:8" x14ac:dyDescent="0.2">
      <c r="A46" s="13">
        <v>44192</v>
      </c>
      <c r="B46" s="14">
        <v>0</v>
      </c>
      <c r="C46" s="14">
        <f t="shared" ref="C46:G46" si="22">C29-B29</f>
        <v>-3.7983587338804248E-2</v>
      </c>
      <c r="D46" s="14">
        <f t="shared" si="22"/>
        <v>-1.7291910902696328E-2</v>
      </c>
      <c r="E46" s="14">
        <f t="shared" si="22"/>
        <v>-9.2028135990621651E-3</v>
      </c>
      <c r="F46" s="14">
        <f t="shared" si="22"/>
        <v>-5.8030480656505734E-3</v>
      </c>
      <c r="G46" s="14">
        <f t="shared" si="22"/>
        <v>-5.2754982415006424E-3</v>
      </c>
      <c r="H46" s="15"/>
    </row>
    <row r="47" spans="1:8" x14ac:dyDescent="0.2">
      <c r="A47" s="13">
        <v>44199</v>
      </c>
      <c r="B47" s="14">
        <v>0</v>
      </c>
      <c r="C47" s="14">
        <f t="shared" ref="C47:F47" si="23">C30-B30</f>
        <v>-4.4299450549450503E-2</v>
      </c>
      <c r="D47" s="14">
        <f t="shared" si="23"/>
        <v>-2.3265796703296759E-2</v>
      </c>
      <c r="E47" s="14">
        <f t="shared" si="23"/>
        <v>-1.0430975274725252E-2</v>
      </c>
      <c r="F47" s="14">
        <f t="shared" si="23"/>
        <v>-7.3403159340659219E-3</v>
      </c>
      <c r="G47" s="15"/>
      <c r="H47" s="15"/>
    </row>
    <row r="48" spans="1:8" x14ac:dyDescent="0.2">
      <c r="A48" s="13">
        <v>44206</v>
      </c>
      <c r="B48" s="14">
        <v>0</v>
      </c>
      <c r="C48" s="14">
        <f t="shared" ref="C48:E48" si="24">C31-B31</f>
        <v>-4.5435789280638184E-2</v>
      </c>
      <c r="D48" s="14">
        <f t="shared" si="24"/>
        <v>-2.6775480262253071E-2</v>
      </c>
      <c r="E48" s="14">
        <f t="shared" si="24"/>
        <v>-1.1416257851542766E-2</v>
      </c>
      <c r="F48" s="15"/>
      <c r="G48" s="15"/>
      <c r="H48" s="15"/>
    </row>
    <row r="49" spans="1:8" x14ac:dyDescent="0.2">
      <c r="A49" s="13">
        <v>44213</v>
      </c>
      <c r="B49" s="14">
        <v>0</v>
      </c>
      <c r="C49" s="14">
        <f t="shared" ref="C49:D49" si="25">C32-B32</f>
        <v>-5.23644642603045E-2</v>
      </c>
      <c r="D49" s="14">
        <f t="shared" si="25"/>
        <v>-3.3202105962149564E-2</v>
      </c>
      <c r="E49" s="15"/>
      <c r="F49" s="15"/>
      <c r="G49" s="15"/>
      <c r="H49" s="15"/>
    </row>
    <row r="50" spans="1:8" x14ac:dyDescent="0.2">
      <c r="A50" s="13">
        <v>44220</v>
      </c>
      <c r="B50" s="14">
        <v>0</v>
      </c>
      <c r="C50" s="14">
        <f t="shared" ref="C50" si="26">C33-B33</f>
        <v>-6.1804203484598919E-2</v>
      </c>
      <c r="D50" s="15"/>
      <c r="E50" s="15"/>
      <c r="F50" s="15"/>
      <c r="G50" s="15"/>
      <c r="H50" s="15"/>
    </row>
    <row r="51" spans="1:8" x14ac:dyDescent="0.2">
      <c r="A51" s="13">
        <v>44227</v>
      </c>
      <c r="B51" s="14">
        <v>0</v>
      </c>
      <c r="C51" s="15"/>
      <c r="D51" s="15"/>
      <c r="E51" s="15"/>
      <c r="F51" s="15"/>
      <c r="G51" s="15"/>
      <c r="H51" s="15"/>
    </row>
    <row r="52" spans="1:8" x14ac:dyDescent="0.2">
      <c r="B52" s="12"/>
    </row>
  </sheetData>
  <mergeCells count="1">
    <mergeCell ref="A37:B37"/>
  </mergeCells>
  <conditionalFormatting sqref="B3:H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H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H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H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H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H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H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H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H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H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H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:H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H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H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H3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:H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Q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code</vt:lpstr>
      <vt:lpstr>SQL output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Ruta Spaicyte (rs5u19)</dc:creator>
  <cp:lastModifiedBy>Ruta Spaicyte (rs5u19)</cp:lastModifiedBy>
  <dcterms:created xsi:type="dcterms:W3CDTF">2024-08-12T20:43:37Z</dcterms:created>
  <dcterms:modified xsi:type="dcterms:W3CDTF">2025-05-01T16:17:09Z</dcterms:modified>
</cp:coreProperties>
</file>